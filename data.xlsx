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ollar\"/>
    </mc:Choice>
  </mc:AlternateContent>
  <xr:revisionPtr revIDLastSave="0" documentId="13_ncr:1_{FDF2733F-66F5-4FF5-BA64-CB1CC2751D20}" xr6:coauthVersionLast="47" xr6:coauthVersionMax="47" xr10:uidLastSave="{00000000-0000-0000-0000-000000000000}"/>
  <bookViews>
    <workbookView xWindow="-108" yWindow="-108" windowWidth="23256" windowHeight="12456" xr2:uid="{401DCCEF-64F2-4FE1-AFD6-236D91C0A7EA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9" i="1" l="1"/>
  <c r="E169" i="1"/>
  <c r="D169" i="1"/>
  <c r="F168" i="1"/>
  <c r="E168" i="1"/>
  <c r="D168" i="1"/>
  <c r="F167" i="1"/>
  <c r="E167" i="1"/>
  <c r="D167" i="1"/>
  <c r="F166" i="1"/>
  <c r="E166" i="1"/>
  <c r="D166" i="1"/>
  <c r="F165" i="1"/>
  <c r="E165" i="1"/>
  <c r="D165" i="1"/>
  <c r="F164" i="1"/>
  <c r="E164" i="1"/>
  <c r="D164" i="1"/>
  <c r="F163" i="1"/>
  <c r="E163" i="1"/>
  <c r="D163" i="1"/>
  <c r="F162" i="1"/>
  <c r="E162" i="1"/>
  <c r="D162" i="1"/>
  <c r="F161" i="1"/>
  <c r="E161" i="1"/>
  <c r="D161" i="1"/>
  <c r="F160" i="1"/>
  <c r="E160" i="1"/>
  <c r="D160" i="1"/>
  <c r="F159" i="1"/>
  <c r="E159" i="1"/>
  <c r="D159" i="1"/>
  <c r="F158" i="1"/>
  <c r="E158" i="1"/>
  <c r="D158" i="1"/>
  <c r="F157" i="1"/>
  <c r="E157" i="1"/>
  <c r="D157" i="1"/>
  <c r="F156" i="1"/>
  <c r="E156" i="1"/>
  <c r="D156" i="1"/>
  <c r="F155" i="1"/>
  <c r="E155" i="1"/>
  <c r="D155" i="1"/>
  <c r="F154" i="1"/>
  <c r="E154" i="1"/>
  <c r="D154" i="1"/>
  <c r="F153" i="1"/>
  <c r="E153" i="1"/>
  <c r="D153" i="1"/>
  <c r="F152" i="1"/>
  <c r="E152" i="1"/>
  <c r="D152" i="1"/>
  <c r="F151" i="1"/>
  <c r="E151" i="1"/>
  <c r="D151" i="1"/>
  <c r="F150" i="1"/>
  <c r="E150" i="1"/>
  <c r="D150" i="1"/>
  <c r="F149" i="1"/>
  <c r="E149" i="1"/>
  <c r="D149" i="1"/>
  <c r="F148" i="1"/>
  <c r="E148" i="1"/>
  <c r="D148" i="1"/>
  <c r="F147" i="1"/>
  <c r="E147" i="1"/>
  <c r="D147" i="1"/>
  <c r="F146" i="1"/>
  <c r="E146" i="1"/>
  <c r="D146" i="1"/>
  <c r="F145" i="1"/>
  <c r="E145" i="1"/>
  <c r="D145" i="1"/>
  <c r="F144" i="1"/>
  <c r="E144" i="1"/>
  <c r="D144" i="1"/>
  <c r="F143" i="1"/>
  <c r="E143" i="1"/>
  <c r="D143" i="1"/>
  <c r="F142" i="1"/>
  <c r="E142" i="1"/>
  <c r="D142" i="1"/>
  <c r="F141" i="1"/>
  <c r="E141" i="1"/>
  <c r="D141" i="1"/>
  <c r="F140" i="1"/>
  <c r="E140" i="1"/>
  <c r="D140" i="1"/>
  <c r="F139" i="1"/>
  <c r="E139" i="1"/>
  <c r="D139" i="1"/>
  <c r="F138" i="1"/>
  <c r="E138" i="1"/>
  <c r="D138" i="1"/>
  <c r="F137" i="1"/>
  <c r="E137" i="1"/>
  <c r="D137" i="1"/>
  <c r="F136" i="1"/>
  <c r="E136" i="1"/>
  <c r="D136" i="1"/>
  <c r="F135" i="1"/>
  <c r="E135" i="1"/>
  <c r="D135" i="1"/>
  <c r="F134" i="1"/>
  <c r="E134" i="1"/>
  <c r="D134" i="1"/>
  <c r="F133" i="1"/>
  <c r="E133" i="1"/>
  <c r="D133" i="1"/>
  <c r="F132" i="1"/>
  <c r="E132" i="1"/>
  <c r="D132" i="1"/>
  <c r="F131" i="1"/>
  <c r="E131" i="1"/>
  <c r="D131" i="1"/>
  <c r="F130" i="1"/>
  <c r="E130" i="1"/>
  <c r="D130" i="1"/>
  <c r="F129" i="1"/>
  <c r="E129" i="1"/>
  <c r="D129" i="1"/>
  <c r="F128" i="1"/>
  <c r="E128" i="1"/>
  <c r="D128" i="1"/>
  <c r="F127" i="1"/>
  <c r="E127" i="1"/>
  <c r="D127" i="1"/>
  <c r="F126" i="1"/>
  <c r="E126" i="1"/>
  <c r="D126" i="1"/>
  <c r="F125" i="1"/>
  <c r="E125" i="1"/>
  <c r="D125" i="1"/>
  <c r="F124" i="1"/>
  <c r="E124" i="1"/>
  <c r="D124" i="1"/>
  <c r="F123" i="1"/>
  <c r="E123" i="1"/>
  <c r="D123" i="1"/>
  <c r="F122" i="1"/>
  <c r="E122" i="1"/>
  <c r="D122" i="1"/>
  <c r="F121" i="1"/>
  <c r="E121" i="1"/>
  <c r="D121" i="1"/>
  <c r="F120" i="1"/>
  <c r="E120" i="1"/>
  <c r="D120" i="1"/>
  <c r="F119" i="1"/>
  <c r="E119" i="1"/>
  <c r="D119" i="1"/>
  <c r="F118" i="1"/>
  <c r="E118" i="1"/>
  <c r="D118" i="1"/>
  <c r="F117" i="1"/>
  <c r="E117" i="1"/>
  <c r="D117" i="1"/>
  <c r="F116" i="1"/>
  <c r="E116" i="1"/>
  <c r="D116" i="1"/>
  <c r="F115" i="1"/>
  <c r="E115" i="1"/>
  <c r="D115" i="1"/>
  <c r="F114" i="1"/>
  <c r="E114" i="1"/>
  <c r="D114" i="1"/>
  <c r="F113" i="1"/>
  <c r="E113" i="1"/>
  <c r="D113" i="1"/>
  <c r="F112" i="1"/>
  <c r="E112" i="1"/>
  <c r="D112" i="1"/>
  <c r="F111" i="1"/>
  <c r="E111" i="1"/>
  <c r="D111" i="1"/>
  <c r="F110" i="1"/>
  <c r="E110" i="1"/>
  <c r="D110" i="1"/>
  <c r="F109" i="1"/>
  <c r="E109" i="1"/>
  <c r="D109" i="1"/>
  <c r="F108" i="1"/>
  <c r="E108" i="1"/>
  <c r="D108" i="1"/>
  <c r="F107" i="1"/>
  <c r="E107" i="1"/>
  <c r="D107" i="1"/>
  <c r="F106" i="1"/>
  <c r="E106" i="1"/>
  <c r="D106" i="1"/>
  <c r="F105" i="1"/>
  <c r="E105" i="1"/>
  <c r="D105" i="1"/>
  <c r="F104" i="1"/>
  <c r="E104" i="1"/>
  <c r="D104" i="1"/>
  <c r="F103" i="1"/>
  <c r="E103" i="1"/>
  <c r="D103" i="1"/>
  <c r="F102" i="1"/>
  <c r="E102" i="1"/>
  <c r="D102" i="1"/>
  <c r="F101" i="1"/>
  <c r="E101" i="1"/>
  <c r="D101" i="1"/>
  <c r="F100" i="1"/>
  <c r="E100" i="1"/>
  <c r="D100" i="1"/>
  <c r="F99" i="1"/>
  <c r="E99" i="1"/>
  <c r="D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F85" i="1"/>
  <c r="E85" i="1"/>
  <c r="D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<sst xmlns="http://schemas.openxmlformats.org/spreadsheetml/2006/main" count="6" uniqueCount="6">
  <si>
    <t>Date</t>
  </si>
  <si>
    <t>Gold price</t>
  </si>
  <si>
    <t>Gold open price</t>
  </si>
  <si>
    <t>USA dollar open price</t>
  </si>
  <si>
    <t xml:space="preserve">CBOE Price </t>
  </si>
  <si>
    <t>CBOE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</si>
</sst>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164" fontId="0" fillId="3" borderId="1" xfId="0" applyNumberFormat="1" applyFill="1" applyBorder="1"/>
    <xf numFmtId="4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164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164" fontId="0" fillId="0" borderId="3" xfId="0" applyNumberFormat="1" applyBorder="1"/>
    <xf numFmtId="4" fontId="0" fillId="0" borderId="3" xfId="0" applyNumberFormat="1" applyBorder="1"/>
    <xf numFmtId="0" fontId="0" fillId="0" borderId="3" xfId="0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numFmt numFmtId="4" formatCode="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numFmt numFmtId="4" formatCode="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  <numFmt numFmtId="164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2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7789E9307AE7926/Documents/Voliality%20(4).xlsx" TargetMode="External"/><Relationship Id="rId1" Type="http://schemas.openxmlformats.org/officeDocument/2006/relationships/externalLinkPath" Target="https://d.docs.live.net/47789E9307AE7926/Documents/Voliality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1"/>
      <sheetName val="Sheet2"/>
      <sheetName val="Sheet3"/>
      <sheetName val="Monthly"/>
      <sheetName val="Sheet4"/>
      <sheetName val="2023-2025"/>
      <sheetName val="cboe analysis"/>
      <sheetName val="Sheet7"/>
      <sheetName val="cboe"/>
      <sheetName val="Gold Futures Historical Data (4"/>
      <sheetName val="CBOE Gold Volatitity Historical"/>
      <sheetName val="Sheet1"/>
      <sheetName val="dollar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Date</v>
          </cell>
          <cell r="B1" t="str">
            <v>Price</v>
          </cell>
          <cell r="C1" t="str">
            <v>Open</v>
          </cell>
          <cell r="D1" t="str">
            <v>High</v>
          </cell>
          <cell r="E1" t="str">
            <v>Low</v>
          </cell>
          <cell r="F1" t="str">
            <v>Change %</v>
          </cell>
        </row>
        <row r="2">
          <cell r="A2">
            <v>40909</v>
          </cell>
          <cell r="B2">
            <v>20.93</v>
          </cell>
          <cell r="C2">
            <v>23.24</v>
          </cell>
          <cell r="D2">
            <v>23.76</v>
          </cell>
          <cell r="E2">
            <v>19.440000000000001</v>
          </cell>
          <cell r="F2">
            <v>-9.9400000000000002E-2</v>
          </cell>
        </row>
        <row r="3">
          <cell r="A3">
            <v>40940</v>
          </cell>
          <cell r="B3">
            <v>22.9</v>
          </cell>
          <cell r="C3">
            <v>21.19</v>
          </cell>
          <cell r="D3">
            <v>22.94</v>
          </cell>
          <cell r="E3">
            <v>17.5</v>
          </cell>
          <cell r="F3">
            <v>9.4100000000000003E-2</v>
          </cell>
        </row>
        <row r="4">
          <cell r="A4">
            <v>40969</v>
          </cell>
          <cell r="B4">
            <v>17.010000000000002</v>
          </cell>
          <cell r="C4">
            <v>22.9</v>
          </cell>
          <cell r="D4">
            <v>22.9</v>
          </cell>
          <cell r="E4">
            <v>16.760000000000002</v>
          </cell>
          <cell r="F4">
            <v>-0.25719999999999998</v>
          </cell>
        </row>
        <row r="5">
          <cell r="A5">
            <v>41000</v>
          </cell>
          <cell r="B5">
            <v>16.93</v>
          </cell>
          <cell r="C5">
            <v>17.010000000000002</v>
          </cell>
          <cell r="D5">
            <v>21.78</v>
          </cell>
          <cell r="E5">
            <v>15.9</v>
          </cell>
          <cell r="F5">
            <v>-4.7000000000000002E-3</v>
          </cell>
        </row>
        <row r="6">
          <cell r="A6">
            <v>41030</v>
          </cell>
          <cell r="B6">
            <v>23.11</v>
          </cell>
          <cell r="C6">
            <v>16.55</v>
          </cell>
          <cell r="D6">
            <v>24.98</v>
          </cell>
          <cell r="E6">
            <v>15.97</v>
          </cell>
          <cell r="F6">
            <v>0.36499999999999999</v>
          </cell>
        </row>
        <row r="7">
          <cell r="A7">
            <v>41061</v>
          </cell>
          <cell r="B7">
            <v>19.53</v>
          </cell>
          <cell r="C7">
            <v>23.11</v>
          </cell>
          <cell r="D7">
            <v>26.16</v>
          </cell>
          <cell r="E7">
            <v>19.21</v>
          </cell>
          <cell r="F7">
            <v>-0.15490000000000001</v>
          </cell>
        </row>
        <row r="8">
          <cell r="A8">
            <v>41091</v>
          </cell>
          <cell r="B8">
            <v>19.510000000000002</v>
          </cell>
          <cell r="C8">
            <v>19.53</v>
          </cell>
          <cell r="D8">
            <v>25.23</v>
          </cell>
          <cell r="E8">
            <v>16.52</v>
          </cell>
          <cell r="F8">
            <v>-1E-3</v>
          </cell>
        </row>
        <row r="9">
          <cell r="A9">
            <v>41122</v>
          </cell>
          <cell r="B9">
            <v>17.89</v>
          </cell>
          <cell r="C9">
            <v>19.510000000000002</v>
          </cell>
          <cell r="D9">
            <v>24.06</v>
          </cell>
          <cell r="E9">
            <v>14.51</v>
          </cell>
          <cell r="F9">
            <v>-8.3000000000000004E-2</v>
          </cell>
        </row>
        <row r="10">
          <cell r="A10">
            <v>41153</v>
          </cell>
          <cell r="B10">
            <v>16.760000000000002</v>
          </cell>
          <cell r="C10">
            <v>17.72</v>
          </cell>
          <cell r="D10">
            <v>26.56</v>
          </cell>
          <cell r="E10">
            <v>14.6</v>
          </cell>
          <cell r="F10">
            <v>-6.3200000000000006E-2</v>
          </cell>
        </row>
        <row r="11">
          <cell r="A11">
            <v>41183</v>
          </cell>
          <cell r="B11">
            <v>14.99</v>
          </cell>
          <cell r="C11">
            <v>17.28</v>
          </cell>
          <cell r="D11">
            <v>17.34</v>
          </cell>
          <cell r="E11">
            <v>13.77</v>
          </cell>
          <cell r="F11">
            <v>-0.1056</v>
          </cell>
        </row>
        <row r="12">
          <cell r="A12">
            <v>41214</v>
          </cell>
          <cell r="B12">
            <v>13.24</v>
          </cell>
          <cell r="C12">
            <v>15.13</v>
          </cell>
          <cell r="D12">
            <v>18.39</v>
          </cell>
          <cell r="E12">
            <v>8.43</v>
          </cell>
          <cell r="F12">
            <v>-0.1167</v>
          </cell>
        </row>
        <row r="13">
          <cell r="A13">
            <v>41244</v>
          </cell>
          <cell r="B13">
            <v>14.38</v>
          </cell>
          <cell r="C13">
            <v>13.18</v>
          </cell>
          <cell r="D13">
            <v>15.58</v>
          </cell>
          <cell r="E13">
            <v>11.32</v>
          </cell>
          <cell r="F13">
            <v>8.6099999999999996E-2</v>
          </cell>
        </row>
        <row r="14">
          <cell r="A14">
            <v>41275</v>
          </cell>
          <cell r="B14">
            <v>13.76</v>
          </cell>
          <cell r="C14">
            <v>14.33</v>
          </cell>
          <cell r="D14">
            <v>15.56</v>
          </cell>
          <cell r="E14">
            <v>12.3</v>
          </cell>
          <cell r="F14">
            <v>-4.3099999999999999E-2</v>
          </cell>
        </row>
        <row r="15">
          <cell r="A15">
            <v>41306</v>
          </cell>
          <cell r="B15">
            <v>15.79</v>
          </cell>
          <cell r="C15">
            <v>13.55</v>
          </cell>
          <cell r="D15">
            <v>18.649999999999999</v>
          </cell>
          <cell r="E15">
            <v>12.99</v>
          </cell>
          <cell r="F15">
            <v>0.14749999999999999</v>
          </cell>
        </row>
        <row r="16">
          <cell r="A16">
            <v>41334</v>
          </cell>
          <cell r="B16">
            <v>12.41</v>
          </cell>
          <cell r="C16">
            <v>15.78</v>
          </cell>
          <cell r="D16">
            <v>16.21</v>
          </cell>
          <cell r="E16">
            <v>11.66</v>
          </cell>
          <cell r="F16">
            <v>-0.21410000000000001</v>
          </cell>
        </row>
        <row r="17">
          <cell r="A17">
            <v>41365</v>
          </cell>
          <cell r="B17">
            <v>22.09</v>
          </cell>
          <cell r="C17">
            <v>12.41</v>
          </cell>
          <cell r="D17">
            <v>35.39</v>
          </cell>
          <cell r="E17">
            <v>12.41</v>
          </cell>
          <cell r="F17">
            <v>0.78</v>
          </cell>
        </row>
        <row r="18">
          <cell r="A18">
            <v>41395</v>
          </cell>
          <cell r="B18">
            <v>22.63</v>
          </cell>
          <cell r="C18">
            <v>23.11</v>
          </cell>
          <cell r="D18">
            <v>29.47</v>
          </cell>
          <cell r="E18">
            <v>19.809999999999999</v>
          </cell>
          <cell r="F18">
            <v>2.4400000000000002E-2</v>
          </cell>
        </row>
        <row r="19">
          <cell r="A19">
            <v>41426</v>
          </cell>
          <cell r="B19">
            <v>31.84</v>
          </cell>
          <cell r="C19">
            <v>22.63</v>
          </cell>
          <cell r="D19">
            <v>33.6</v>
          </cell>
          <cell r="E19">
            <v>20.86</v>
          </cell>
          <cell r="F19">
            <v>0.40699999999999997</v>
          </cell>
        </row>
        <row r="20">
          <cell r="A20">
            <v>41456</v>
          </cell>
          <cell r="B20">
            <v>24.99</v>
          </cell>
          <cell r="C20">
            <v>31.84</v>
          </cell>
          <cell r="D20">
            <v>31.84</v>
          </cell>
          <cell r="E20">
            <v>21.13</v>
          </cell>
          <cell r="F20">
            <v>-0.21510000000000001</v>
          </cell>
        </row>
        <row r="21">
          <cell r="A21">
            <v>41487</v>
          </cell>
          <cell r="B21">
            <v>24.44</v>
          </cell>
          <cell r="C21">
            <v>24.99</v>
          </cell>
          <cell r="D21">
            <v>25.89</v>
          </cell>
          <cell r="E21">
            <v>18.45</v>
          </cell>
          <cell r="F21">
            <v>-2.1999999999999999E-2</v>
          </cell>
        </row>
        <row r="22">
          <cell r="A22">
            <v>41518</v>
          </cell>
          <cell r="B22">
            <v>23.72</v>
          </cell>
          <cell r="C22">
            <v>24.44</v>
          </cell>
          <cell r="D22">
            <v>28.89</v>
          </cell>
          <cell r="E22">
            <v>17.53</v>
          </cell>
          <cell r="F22">
            <v>-2.9499999999999998E-2</v>
          </cell>
        </row>
        <row r="23">
          <cell r="A23">
            <v>41548</v>
          </cell>
          <cell r="B23">
            <v>20.57</v>
          </cell>
          <cell r="C23">
            <v>23.72</v>
          </cell>
          <cell r="D23">
            <v>26.88</v>
          </cell>
          <cell r="E23">
            <v>18.149999999999999</v>
          </cell>
          <cell r="F23">
            <v>-0.1328</v>
          </cell>
        </row>
        <row r="24">
          <cell r="A24">
            <v>41579</v>
          </cell>
          <cell r="B24">
            <v>19.329999999999998</v>
          </cell>
          <cell r="C24">
            <v>20.57</v>
          </cell>
          <cell r="D24">
            <v>28.16</v>
          </cell>
          <cell r="E24">
            <v>14.21</v>
          </cell>
          <cell r="F24">
            <v>-6.0299999999999999E-2</v>
          </cell>
        </row>
        <row r="25">
          <cell r="A25">
            <v>41609</v>
          </cell>
          <cell r="B25">
            <v>21.65</v>
          </cell>
          <cell r="C25">
            <v>19.329999999999998</v>
          </cell>
          <cell r="D25">
            <v>26.29</v>
          </cell>
          <cell r="E25">
            <v>15.43</v>
          </cell>
          <cell r="F25">
            <v>0.12</v>
          </cell>
        </row>
        <row r="26">
          <cell r="A26">
            <v>41640</v>
          </cell>
          <cell r="B26">
            <v>18.62</v>
          </cell>
          <cell r="C26">
            <v>21.23</v>
          </cell>
          <cell r="D26">
            <v>21.24</v>
          </cell>
          <cell r="E26">
            <v>12.81</v>
          </cell>
          <cell r="F26">
            <v>-0.14000000000000001</v>
          </cell>
        </row>
        <row r="27">
          <cell r="A27">
            <v>41671</v>
          </cell>
          <cell r="B27">
            <v>16.07</v>
          </cell>
          <cell r="C27">
            <v>18.62</v>
          </cell>
          <cell r="D27">
            <v>19.510000000000002</v>
          </cell>
          <cell r="E27">
            <v>14.95</v>
          </cell>
          <cell r="F27">
            <v>-0.13689999999999999</v>
          </cell>
        </row>
        <row r="28">
          <cell r="A28">
            <v>41699</v>
          </cell>
          <cell r="B28">
            <v>17.37</v>
          </cell>
          <cell r="C28">
            <v>16.84</v>
          </cell>
          <cell r="D28">
            <v>22.38</v>
          </cell>
          <cell r="E28">
            <v>15.5</v>
          </cell>
          <cell r="F28">
            <v>8.09E-2</v>
          </cell>
        </row>
        <row r="29">
          <cell r="A29">
            <v>41730</v>
          </cell>
          <cell r="B29">
            <v>15.52</v>
          </cell>
          <cell r="C29">
            <v>17.37</v>
          </cell>
          <cell r="D29">
            <v>19.87</v>
          </cell>
          <cell r="E29">
            <v>14.64</v>
          </cell>
          <cell r="F29">
            <v>-0.1065</v>
          </cell>
        </row>
        <row r="30">
          <cell r="A30">
            <v>41760</v>
          </cell>
          <cell r="B30">
            <v>15.34</v>
          </cell>
          <cell r="C30">
            <v>15.52</v>
          </cell>
          <cell r="D30">
            <v>16.5</v>
          </cell>
          <cell r="E30">
            <v>13.4</v>
          </cell>
          <cell r="F30">
            <v>-1.1599999999999999E-2</v>
          </cell>
        </row>
        <row r="31">
          <cell r="A31">
            <v>41791</v>
          </cell>
          <cell r="B31">
            <v>14.01</v>
          </cell>
          <cell r="C31">
            <v>15.55</v>
          </cell>
          <cell r="D31">
            <v>17.57</v>
          </cell>
          <cell r="E31">
            <v>11.93</v>
          </cell>
          <cell r="F31">
            <v>-8.6699999999999999E-2</v>
          </cell>
        </row>
        <row r="32">
          <cell r="A32">
            <v>41821</v>
          </cell>
          <cell r="B32">
            <v>15.46</v>
          </cell>
          <cell r="C32">
            <v>14.01</v>
          </cell>
          <cell r="D32">
            <v>15.58</v>
          </cell>
          <cell r="E32">
            <v>12.77</v>
          </cell>
          <cell r="F32">
            <v>0.10349999999999999</v>
          </cell>
        </row>
        <row r="33">
          <cell r="A33">
            <v>41852</v>
          </cell>
          <cell r="B33">
            <v>12.85</v>
          </cell>
          <cell r="C33">
            <v>15.46</v>
          </cell>
          <cell r="D33">
            <v>15.46</v>
          </cell>
          <cell r="E33">
            <v>12.37</v>
          </cell>
          <cell r="F33">
            <v>-0.16880000000000001</v>
          </cell>
        </row>
        <row r="34">
          <cell r="A34">
            <v>41883</v>
          </cell>
          <cell r="B34">
            <v>18.829999999999998</v>
          </cell>
          <cell r="C34">
            <v>12.85</v>
          </cell>
          <cell r="D34">
            <v>22.48</v>
          </cell>
          <cell r="E34">
            <v>12.85</v>
          </cell>
          <cell r="F34">
            <v>0.46539999999999998</v>
          </cell>
        </row>
        <row r="35">
          <cell r="A35">
            <v>41913</v>
          </cell>
          <cell r="B35">
            <v>21.54</v>
          </cell>
          <cell r="C35">
            <v>18.829999999999998</v>
          </cell>
          <cell r="D35">
            <v>26.73</v>
          </cell>
          <cell r="E35">
            <v>14.7</v>
          </cell>
          <cell r="F35">
            <v>0.1439</v>
          </cell>
        </row>
        <row r="36">
          <cell r="A36">
            <v>41944</v>
          </cell>
          <cell r="B36">
            <v>25.17</v>
          </cell>
          <cell r="C36">
            <v>21.54</v>
          </cell>
          <cell r="D36">
            <v>27.43</v>
          </cell>
          <cell r="E36">
            <v>19.87</v>
          </cell>
          <cell r="F36">
            <v>0.16850000000000001</v>
          </cell>
        </row>
        <row r="37">
          <cell r="A37">
            <v>41974</v>
          </cell>
          <cell r="B37">
            <v>20.079999999999998</v>
          </cell>
          <cell r="C37">
            <v>25.17</v>
          </cell>
          <cell r="D37">
            <v>25.17</v>
          </cell>
          <cell r="E37">
            <v>18.34</v>
          </cell>
          <cell r="F37">
            <v>-0.20219999999999999</v>
          </cell>
        </row>
        <row r="38">
          <cell r="A38">
            <v>42005</v>
          </cell>
          <cell r="B38">
            <v>19.649999999999999</v>
          </cell>
          <cell r="C38">
            <v>20.079999999999998</v>
          </cell>
          <cell r="D38">
            <v>24.75</v>
          </cell>
          <cell r="E38">
            <v>10.38</v>
          </cell>
          <cell r="F38">
            <v>-2.1399999999999999E-2</v>
          </cell>
        </row>
        <row r="39">
          <cell r="A39">
            <v>42036</v>
          </cell>
          <cell r="B39">
            <v>15.91</v>
          </cell>
          <cell r="C39">
            <v>20.74</v>
          </cell>
          <cell r="D39">
            <v>21.59</v>
          </cell>
          <cell r="E39">
            <v>15.19</v>
          </cell>
          <cell r="F39">
            <v>-0.1903</v>
          </cell>
        </row>
        <row r="40">
          <cell r="A40">
            <v>42064</v>
          </cell>
          <cell r="B40">
            <v>16.34</v>
          </cell>
          <cell r="C40">
            <v>15.91</v>
          </cell>
          <cell r="D40">
            <v>24.73</v>
          </cell>
          <cell r="E40">
            <v>15.57</v>
          </cell>
          <cell r="F40">
            <v>2.7E-2</v>
          </cell>
        </row>
        <row r="41">
          <cell r="A41">
            <v>42095</v>
          </cell>
          <cell r="B41">
            <v>16.760000000000002</v>
          </cell>
          <cell r="C41">
            <v>15.94</v>
          </cell>
          <cell r="D41">
            <v>17.14</v>
          </cell>
          <cell r="E41">
            <v>14.16</v>
          </cell>
          <cell r="F41">
            <v>2.5700000000000001E-2</v>
          </cell>
        </row>
        <row r="42">
          <cell r="A42">
            <v>42125</v>
          </cell>
          <cell r="B42">
            <v>13.99</v>
          </cell>
          <cell r="C42">
            <v>17.329999999999998</v>
          </cell>
          <cell r="D42">
            <v>20.6</v>
          </cell>
          <cell r="E42">
            <v>13.89</v>
          </cell>
          <cell r="F42">
            <v>-0.1653</v>
          </cell>
        </row>
        <row r="43">
          <cell r="A43">
            <v>42156</v>
          </cell>
          <cell r="B43">
            <v>15.34</v>
          </cell>
          <cell r="C43">
            <v>14.27</v>
          </cell>
          <cell r="D43">
            <v>16.78</v>
          </cell>
          <cell r="E43">
            <v>8.61</v>
          </cell>
          <cell r="F43">
            <v>9.6500000000000002E-2</v>
          </cell>
        </row>
        <row r="44">
          <cell r="A44">
            <v>42186</v>
          </cell>
          <cell r="B44">
            <v>16.79</v>
          </cell>
          <cell r="C44">
            <v>15.02</v>
          </cell>
          <cell r="D44">
            <v>20.66</v>
          </cell>
          <cell r="E44">
            <v>13.11</v>
          </cell>
          <cell r="F44">
            <v>9.4500000000000001E-2</v>
          </cell>
        </row>
        <row r="45">
          <cell r="A45">
            <v>42217</v>
          </cell>
          <cell r="B45">
            <v>19.34</v>
          </cell>
          <cell r="C45">
            <v>16.79</v>
          </cell>
          <cell r="D45">
            <v>25.73</v>
          </cell>
          <cell r="E45">
            <v>15.18</v>
          </cell>
          <cell r="F45">
            <v>0.15190000000000001</v>
          </cell>
        </row>
        <row r="46">
          <cell r="A46">
            <v>42248</v>
          </cell>
          <cell r="B46">
            <v>17.47</v>
          </cell>
          <cell r="C46">
            <v>19.34</v>
          </cell>
          <cell r="D46">
            <v>21.57</v>
          </cell>
          <cell r="E46">
            <v>16.25</v>
          </cell>
          <cell r="F46">
            <v>-9.6699999999999994E-2</v>
          </cell>
        </row>
        <row r="47">
          <cell r="A47">
            <v>42278</v>
          </cell>
          <cell r="B47">
            <v>15.39</v>
          </cell>
          <cell r="C47">
            <v>17.47</v>
          </cell>
          <cell r="D47">
            <v>18.350000000000001</v>
          </cell>
          <cell r="E47">
            <v>15.17</v>
          </cell>
          <cell r="F47">
            <v>-0.1191</v>
          </cell>
        </row>
        <row r="48">
          <cell r="A48">
            <v>42309</v>
          </cell>
          <cell r="B48">
            <v>16.91</v>
          </cell>
          <cell r="C48">
            <v>15.39</v>
          </cell>
          <cell r="D48">
            <v>20.46</v>
          </cell>
          <cell r="E48">
            <v>15.27</v>
          </cell>
          <cell r="F48">
            <v>9.8799999999999999E-2</v>
          </cell>
        </row>
        <row r="49">
          <cell r="A49">
            <v>42339</v>
          </cell>
          <cell r="B49">
            <v>14.99</v>
          </cell>
          <cell r="C49">
            <v>16.91</v>
          </cell>
          <cell r="D49">
            <v>21.56</v>
          </cell>
          <cell r="E49">
            <v>14.93</v>
          </cell>
          <cell r="F49">
            <v>-0.1135</v>
          </cell>
        </row>
        <row r="50">
          <cell r="A50">
            <v>42370</v>
          </cell>
          <cell r="B50">
            <v>15.73</v>
          </cell>
          <cell r="C50">
            <v>14.99</v>
          </cell>
          <cell r="D50">
            <v>17.989999999999998</v>
          </cell>
          <cell r="E50">
            <v>14.99</v>
          </cell>
          <cell r="F50">
            <v>4.9399999999999999E-2</v>
          </cell>
        </row>
        <row r="51">
          <cell r="A51">
            <v>42401</v>
          </cell>
          <cell r="B51">
            <v>22.59</v>
          </cell>
          <cell r="C51">
            <v>15.73</v>
          </cell>
          <cell r="D51">
            <v>31.6</v>
          </cell>
          <cell r="E51">
            <v>15.73</v>
          </cell>
          <cell r="F51">
            <v>0.43609999999999999</v>
          </cell>
        </row>
        <row r="52">
          <cell r="A52">
            <v>42430</v>
          </cell>
          <cell r="B52">
            <v>18.45</v>
          </cell>
          <cell r="C52">
            <v>22.59</v>
          </cell>
          <cell r="D52">
            <v>24.19</v>
          </cell>
          <cell r="E52">
            <v>17.22</v>
          </cell>
          <cell r="F52">
            <v>-0.18329999999999999</v>
          </cell>
        </row>
        <row r="53">
          <cell r="A53">
            <v>42461</v>
          </cell>
          <cell r="B53">
            <v>20.23</v>
          </cell>
          <cell r="C53">
            <v>18.25</v>
          </cell>
          <cell r="D53">
            <v>20.57</v>
          </cell>
          <cell r="E53">
            <v>16.399999999999999</v>
          </cell>
          <cell r="F53">
            <v>9.6500000000000002E-2</v>
          </cell>
        </row>
        <row r="54">
          <cell r="A54">
            <v>42491</v>
          </cell>
          <cell r="B54">
            <v>15.83</v>
          </cell>
          <cell r="C54">
            <v>20.23</v>
          </cell>
          <cell r="D54">
            <v>21.73</v>
          </cell>
          <cell r="E54">
            <v>15.09</v>
          </cell>
          <cell r="F54">
            <v>-0.2175</v>
          </cell>
        </row>
        <row r="55">
          <cell r="A55">
            <v>42522</v>
          </cell>
          <cell r="B55">
            <v>18.5</v>
          </cell>
          <cell r="C55">
            <v>15.97</v>
          </cell>
          <cell r="D55">
            <v>24.57</v>
          </cell>
          <cell r="E55">
            <v>15.75</v>
          </cell>
          <cell r="F55">
            <v>0.16869999999999999</v>
          </cell>
        </row>
        <row r="56">
          <cell r="A56">
            <v>42552</v>
          </cell>
          <cell r="B56">
            <v>15.8</v>
          </cell>
          <cell r="C56">
            <v>18.5</v>
          </cell>
          <cell r="D56">
            <v>21.2</v>
          </cell>
          <cell r="E56">
            <v>15.44</v>
          </cell>
          <cell r="F56">
            <v>-0.1459</v>
          </cell>
        </row>
        <row r="57">
          <cell r="A57">
            <v>42583</v>
          </cell>
          <cell r="B57">
            <v>16.010000000000002</v>
          </cell>
          <cell r="C57">
            <v>15.8</v>
          </cell>
          <cell r="D57">
            <v>19.37</v>
          </cell>
          <cell r="E57">
            <v>14.37</v>
          </cell>
          <cell r="F57">
            <v>1.3299999999999999E-2</v>
          </cell>
        </row>
        <row r="58">
          <cell r="A58">
            <v>42614</v>
          </cell>
          <cell r="B58">
            <v>13.88</v>
          </cell>
          <cell r="C58">
            <v>16.010000000000002</v>
          </cell>
          <cell r="D58">
            <v>20.85</v>
          </cell>
          <cell r="E58">
            <v>13.31</v>
          </cell>
          <cell r="F58">
            <v>-0.13300000000000001</v>
          </cell>
        </row>
        <row r="59">
          <cell r="A59">
            <v>42644</v>
          </cell>
          <cell r="B59">
            <v>18.13</v>
          </cell>
          <cell r="C59">
            <v>14.35</v>
          </cell>
          <cell r="D59">
            <v>22.42</v>
          </cell>
          <cell r="E59">
            <v>13.91</v>
          </cell>
          <cell r="F59">
            <v>0.30620000000000003</v>
          </cell>
        </row>
        <row r="60">
          <cell r="A60">
            <v>42675</v>
          </cell>
          <cell r="B60">
            <v>19.18</v>
          </cell>
          <cell r="C60">
            <v>19.03</v>
          </cell>
          <cell r="D60">
            <v>24.44</v>
          </cell>
          <cell r="E60">
            <v>15.03</v>
          </cell>
          <cell r="F60">
            <v>5.79E-2</v>
          </cell>
        </row>
        <row r="61">
          <cell r="A61">
            <v>42705</v>
          </cell>
          <cell r="B61">
            <v>16.23</v>
          </cell>
          <cell r="C61">
            <v>19.739999999999998</v>
          </cell>
          <cell r="D61">
            <v>20.399999999999999</v>
          </cell>
          <cell r="E61">
            <v>11.63</v>
          </cell>
          <cell r="F61">
            <v>-0.15379999999999999</v>
          </cell>
        </row>
        <row r="62">
          <cell r="A62">
            <v>42736</v>
          </cell>
          <cell r="B62">
            <v>15.27</v>
          </cell>
          <cell r="C62">
            <v>16.12</v>
          </cell>
          <cell r="D62">
            <v>16.41</v>
          </cell>
          <cell r="E62">
            <v>14.12</v>
          </cell>
          <cell r="F62">
            <v>-5.91E-2</v>
          </cell>
        </row>
        <row r="63">
          <cell r="A63">
            <v>42767</v>
          </cell>
          <cell r="B63">
            <v>14.3</v>
          </cell>
          <cell r="C63">
            <v>14.86</v>
          </cell>
          <cell r="D63">
            <v>15.75</v>
          </cell>
          <cell r="E63">
            <v>13.26</v>
          </cell>
          <cell r="F63">
            <v>-6.3500000000000001E-2</v>
          </cell>
        </row>
        <row r="64">
          <cell r="A64">
            <v>42795</v>
          </cell>
          <cell r="B64">
            <v>12.41</v>
          </cell>
          <cell r="C64">
            <v>14.35</v>
          </cell>
          <cell r="D64">
            <v>14.81</v>
          </cell>
          <cell r="E64">
            <v>10.52</v>
          </cell>
          <cell r="F64">
            <v>-0.13220000000000001</v>
          </cell>
        </row>
        <row r="65">
          <cell r="A65">
            <v>42826</v>
          </cell>
          <cell r="B65">
            <v>11.6</v>
          </cell>
          <cell r="C65">
            <v>12.41</v>
          </cell>
          <cell r="D65">
            <v>18.149999999999999</v>
          </cell>
          <cell r="E65">
            <v>11.45</v>
          </cell>
          <cell r="F65">
            <v>-6.5299999999999997E-2</v>
          </cell>
        </row>
        <row r="66">
          <cell r="A66">
            <v>42856</v>
          </cell>
          <cell r="B66">
            <v>11.82</v>
          </cell>
          <cell r="C66">
            <v>11.6</v>
          </cell>
          <cell r="D66">
            <v>13.49</v>
          </cell>
          <cell r="E66">
            <v>11.05</v>
          </cell>
          <cell r="F66">
            <v>1.9E-2</v>
          </cell>
        </row>
        <row r="67">
          <cell r="A67">
            <v>42887</v>
          </cell>
          <cell r="B67">
            <v>11</v>
          </cell>
          <cell r="C67">
            <v>11.91</v>
          </cell>
          <cell r="D67">
            <v>15.07</v>
          </cell>
          <cell r="E67">
            <v>9.84</v>
          </cell>
          <cell r="F67">
            <v>-6.9400000000000003E-2</v>
          </cell>
        </row>
        <row r="68">
          <cell r="A68">
            <v>42917</v>
          </cell>
          <cell r="B68">
            <v>11.61</v>
          </cell>
          <cell r="C68">
            <v>11.6</v>
          </cell>
          <cell r="D68">
            <v>19.72</v>
          </cell>
          <cell r="E68">
            <v>10.59</v>
          </cell>
          <cell r="F68">
            <v>5.5500000000000001E-2</v>
          </cell>
        </row>
        <row r="69">
          <cell r="A69">
            <v>42948</v>
          </cell>
          <cell r="B69">
            <v>13.26</v>
          </cell>
          <cell r="C69">
            <v>11.61</v>
          </cell>
          <cell r="D69">
            <v>15.6</v>
          </cell>
          <cell r="E69">
            <v>10.36</v>
          </cell>
          <cell r="F69">
            <v>0.1421</v>
          </cell>
        </row>
        <row r="70">
          <cell r="A70">
            <v>42979</v>
          </cell>
          <cell r="B70">
            <v>11.77</v>
          </cell>
          <cell r="C70">
            <v>13.23</v>
          </cell>
          <cell r="D70">
            <v>17.440000000000001</v>
          </cell>
          <cell r="E70">
            <v>11.19</v>
          </cell>
          <cell r="F70">
            <v>-0.1124</v>
          </cell>
        </row>
        <row r="71">
          <cell r="A71">
            <v>43009</v>
          </cell>
          <cell r="B71">
            <v>11.81</v>
          </cell>
          <cell r="C71">
            <v>11.72</v>
          </cell>
          <cell r="D71">
            <v>14.68</v>
          </cell>
          <cell r="E71">
            <v>10.95</v>
          </cell>
          <cell r="F71">
            <v>3.3999999999999998E-3</v>
          </cell>
        </row>
        <row r="72">
          <cell r="A72">
            <v>43040</v>
          </cell>
          <cell r="B72">
            <v>11.79</v>
          </cell>
          <cell r="C72">
            <v>11.81</v>
          </cell>
          <cell r="D72">
            <v>15.81</v>
          </cell>
          <cell r="E72">
            <v>10.23</v>
          </cell>
          <cell r="F72">
            <v>-1.6999999999999999E-3</v>
          </cell>
        </row>
        <row r="73">
          <cell r="A73">
            <v>43070</v>
          </cell>
          <cell r="B73">
            <v>10.96</v>
          </cell>
          <cell r="C73">
            <v>11.79</v>
          </cell>
          <cell r="D73">
            <v>13.39</v>
          </cell>
          <cell r="E73">
            <v>9.3800000000000008</v>
          </cell>
          <cell r="F73">
            <v>-7.0400000000000004E-2</v>
          </cell>
        </row>
        <row r="74">
          <cell r="A74">
            <v>43101</v>
          </cell>
          <cell r="B74">
            <v>12.97</v>
          </cell>
          <cell r="C74">
            <v>11.66</v>
          </cell>
          <cell r="D74">
            <v>14.13</v>
          </cell>
          <cell r="E74">
            <v>10.53</v>
          </cell>
          <cell r="F74">
            <v>0.18340000000000001</v>
          </cell>
        </row>
        <row r="75">
          <cell r="A75">
            <v>43132</v>
          </cell>
          <cell r="B75">
            <v>11.74</v>
          </cell>
          <cell r="C75">
            <v>12.97</v>
          </cell>
          <cell r="D75">
            <v>17.73</v>
          </cell>
          <cell r="E75">
            <v>11.44</v>
          </cell>
          <cell r="F75">
            <v>-9.4799999999999995E-2</v>
          </cell>
        </row>
        <row r="76">
          <cell r="A76">
            <v>43160</v>
          </cell>
          <cell r="B76">
            <v>11.06</v>
          </cell>
          <cell r="C76">
            <v>11.74</v>
          </cell>
          <cell r="D76">
            <v>13.46</v>
          </cell>
          <cell r="E76">
            <v>8.9</v>
          </cell>
          <cell r="F76">
            <v>-5.79E-2</v>
          </cell>
        </row>
        <row r="77">
          <cell r="A77">
            <v>43191</v>
          </cell>
          <cell r="B77">
            <v>11.15</v>
          </cell>
          <cell r="C77">
            <v>12.13</v>
          </cell>
          <cell r="D77">
            <v>17.93</v>
          </cell>
          <cell r="E77">
            <v>10.79</v>
          </cell>
          <cell r="F77">
            <v>8.0999999999999996E-3</v>
          </cell>
        </row>
        <row r="78">
          <cell r="A78">
            <v>43221</v>
          </cell>
          <cell r="B78">
            <v>10.92</v>
          </cell>
          <cell r="C78">
            <v>11.15</v>
          </cell>
          <cell r="D78">
            <v>14.2</v>
          </cell>
          <cell r="E78">
            <v>10.14</v>
          </cell>
          <cell r="F78">
            <v>-2.06E-2</v>
          </cell>
        </row>
        <row r="79">
          <cell r="A79">
            <v>43252</v>
          </cell>
          <cell r="B79">
            <v>10.75</v>
          </cell>
          <cell r="C79">
            <v>10.72</v>
          </cell>
          <cell r="D79">
            <v>12.46</v>
          </cell>
          <cell r="E79">
            <v>7.29</v>
          </cell>
          <cell r="F79">
            <v>-1.5599999999999999E-2</v>
          </cell>
        </row>
        <row r="80">
          <cell r="A80">
            <v>43282</v>
          </cell>
          <cell r="B80">
            <v>11.21</v>
          </cell>
          <cell r="C80">
            <v>11.32</v>
          </cell>
          <cell r="D80">
            <v>13.77</v>
          </cell>
          <cell r="E80">
            <v>8.2100000000000009</v>
          </cell>
          <cell r="F80">
            <v>4.2799999999999998E-2</v>
          </cell>
        </row>
        <row r="81">
          <cell r="A81">
            <v>43313</v>
          </cell>
          <cell r="B81">
            <v>10.96</v>
          </cell>
          <cell r="C81">
            <v>11.21</v>
          </cell>
          <cell r="D81">
            <v>40.159999999999997</v>
          </cell>
          <cell r="E81">
            <v>10.44</v>
          </cell>
          <cell r="F81">
            <v>-2.23E-2</v>
          </cell>
        </row>
        <row r="82">
          <cell r="A82">
            <v>43344</v>
          </cell>
          <cell r="B82">
            <v>10.74</v>
          </cell>
          <cell r="C82">
            <v>11.6</v>
          </cell>
          <cell r="D82">
            <v>13.73</v>
          </cell>
          <cell r="E82">
            <v>9.09</v>
          </cell>
          <cell r="F82">
            <v>-2.01E-2</v>
          </cell>
        </row>
        <row r="83">
          <cell r="A83">
            <v>43374</v>
          </cell>
          <cell r="B83">
            <v>12.08</v>
          </cell>
          <cell r="C83">
            <v>11.06</v>
          </cell>
          <cell r="D83">
            <v>16.37</v>
          </cell>
          <cell r="E83">
            <v>9.56</v>
          </cell>
          <cell r="F83">
            <v>0.12479999999999999</v>
          </cell>
        </row>
        <row r="84">
          <cell r="A84">
            <v>43405</v>
          </cell>
          <cell r="B84">
            <v>11.26</v>
          </cell>
          <cell r="C84">
            <v>12.95</v>
          </cell>
          <cell r="D84">
            <v>28.11</v>
          </cell>
          <cell r="E84">
            <v>8.73</v>
          </cell>
          <cell r="F84">
            <v>-6.7900000000000002E-2</v>
          </cell>
        </row>
        <row r="85">
          <cell r="A85">
            <v>43435</v>
          </cell>
          <cell r="B85">
            <v>13.48</v>
          </cell>
          <cell r="C85">
            <v>11.53</v>
          </cell>
          <cell r="D85">
            <v>38.56</v>
          </cell>
          <cell r="E85">
            <v>10.49</v>
          </cell>
          <cell r="F85">
            <v>0.19719999999999999</v>
          </cell>
        </row>
        <row r="86">
          <cell r="A86">
            <v>43466</v>
          </cell>
          <cell r="B86">
            <v>10.74</v>
          </cell>
          <cell r="C86">
            <v>13.51</v>
          </cell>
          <cell r="D86">
            <v>18.62</v>
          </cell>
          <cell r="E86">
            <v>10.08</v>
          </cell>
          <cell r="F86">
            <v>-0.20330000000000001</v>
          </cell>
        </row>
        <row r="87">
          <cell r="A87">
            <v>43497</v>
          </cell>
          <cell r="B87">
            <v>9.52</v>
          </cell>
          <cell r="C87">
            <v>10.74</v>
          </cell>
          <cell r="D87">
            <v>17.399999999999999</v>
          </cell>
          <cell r="E87">
            <v>8.76</v>
          </cell>
          <cell r="F87">
            <v>-0.11360000000000001</v>
          </cell>
        </row>
        <row r="88">
          <cell r="A88">
            <v>43525</v>
          </cell>
          <cell r="B88">
            <v>9.94</v>
          </cell>
          <cell r="C88">
            <v>9.5500000000000007</v>
          </cell>
          <cell r="D88">
            <v>23.57</v>
          </cell>
          <cell r="E88">
            <v>9.2200000000000006</v>
          </cell>
          <cell r="F88">
            <v>4.41E-2</v>
          </cell>
        </row>
        <row r="89">
          <cell r="A89">
            <v>43556</v>
          </cell>
          <cell r="B89">
            <v>9.32</v>
          </cell>
          <cell r="C89">
            <v>10.34</v>
          </cell>
          <cell r="D89">
            <v>10.34</v>
          </cell>
          <cell r="E89">
            <v>8.84</v>
          </cell>
          <cell r="F89">
            <v>-6.2399999999999997E-2</v>
          </cell>
        </row>
        <row r="90">
          <cell r="A90">
            <v>43586</v>
          </cell>
          <cell r="B90">
            <v>10.33</v>
          </cell>
          <cell r="C90">
            <v>9.34</v>
          </cell>
          <cell r="D90">
            <v>10.82</v>
          </cell>
          <cell r="E90">
            <v>7.68</v>
          </cell>
          <cell r="F90">
            <v>0.1084</v>
          </cell>
        </row>
        <row r="91">
          <cell r="A91">
            <v>43617</v>
          </cell>
          <cell r="B91">
            <v>15.99</v>
          </cell>
          <cell r="C91">
            <v>10.83</v>
          </cell>
          <cell r="D91">
            <v>17.77</v>
          </cell>
          <cell r="E91">
            <v>9.39</v>
          </cell>
          <cell r="F91">
            <v>0.54790000000000005</v>
          </cell>
        </row>
        <row r="92">
          <cell r="A92">
            <v>43647</v>
          </cell>
          <cell r="B92">
            <v>13.21</v>
          </cell>
          <cell r="C92">
            <v>15.2</v>
          </cell>
          <cell r="D92">
            <v>17.91</v>
          </cell>
          <cell r="E92">
            <v>9.9700000000000006</v>
          </cell>
          <cell r="F92">
            <v>-0.1739</v>
          </cell>
        </row>
        <row r="93">
          <cell r="A93">
            <v>43678</v>
          </cell>
          <cell r="B93">
            <v>15.45</v>
          </cell>
          <cell r="C93">
            <v>11.93</v>
          </cell>
          <cell r="D93">
            <v>24.59</v>
          </cell>
          <cell r="E93">
            <v>11.69</v>
          </cell>
          <cell r="F93">
            <v>0.1696</v>
          </cell>
        </row>
        <row r="94">
          <cell r="A94">
            <v>43709</v>
          </cell>
          <cell r="B94">
            <v>15.37</v>
          </cell>
          <cell r="C94">
            <v>16.66</v>
          </cell>
          <cell r="D94">
            <v>28.64</v>
          </cell>
          <cell r="E94">
            <v>10.8</v>
          </cell>
          <cell r="F94">
            <v>-5.1999999999999998E-3</v>
          </cell>
        </row>
        <row r="95">
          <cell r="A95">
            <v>43739</v>
          </cell>
          <cell r="B95">
            <v>13.39</v>
          </cell>
          <cell r="C95">
            <v>15.31</v>
          </cell>
          <cell r="D95">
            <v>17.46</v>
          </cell>
          <cell r="E95">
            <v>10.08</v>
          </cell>
          <cell r="F95">
            <v>-0.1288</v>
          </cell>
        </row>
        <row r="96">
          <cell r="A96">
            <v>43770</v>
          </cell>
          <cell r="B96">
            <v>10.71</v>
          </cell>
          <cell r="C96">
            <v>13</v>
          </cell>
          <cell r="D96">
            <v>18.97</v>
          </cell>
          <cell r="E96">
            <v>10.16</v>
          </cell>
          <cell r="F96">
            <v>-0.2001</v>
          </cell>
        </row>
        <row r="97">
          <cell r="A97">
            <v>43800</v>
          </cell>
          <cell r="B97">
            <v>12.63</v>
          </cell>
          <cell r="C97">
            <v>10.58</v>
          </cell>
          <cell r="D97">
            <v>13.4</v>
          </cell>
          <cell r="E97">
            <v>9.5</v>
          </cell>
          <cell r="F97">
            <v>0.17929999999999999</v>
          </cell>
        </row>
        <row r="98">
          <cell r="A98">
            <v>43831</v>
          </cell>
          <cell r="B98">
            <v>13.5</v>
          </cell>
          <cell r="C98">
            <v>12.63</v>
          </cell>
          <cell r="D98">
            <v>14.65</v>
          </cell>
          <cell r="E98">
            <v>10.62</v>
          </cell>
          <cell r="F98">
            <v>6.8900000000000003E-2</v>
          </cell>
        </row>
        <row r="99">
          <cell r="A99">
            <v>43862</v>
          </cell>
          <cell r="B99">
            <v>21.27</v>
          </cell>
          <cell r="C99">
            <v>13.5</v>
          </cell>
          <cell r="D99">
            <v>25.68</v>
          </cell>
          <cell r="E99">
            <v>10.81</v>
          </cell>
          <cell r="F99">
            <v>0.5756</v>
          </cell>
        </row>
        <row r="100">
          <cell r="A100">
            <v>43891</v>
          </cell>
          <cell r="B100">
            <v>29.19</v>
          </cell>
          <cell r="C100">
            <v>20.87</v>
          </cell>
          <cell r="D100">
            <v>54.37</v>
          </cell>
          <cell r="E100">
            <v>16.63</v>
          </cell>
          <cell r="F100">
            <v>0.37240000000000001</v>
          </cell>
        </row>
        <row r="101">
          <cell r="A101">
            <v>43922</v>
          </cell>
          <cell r="B101">
            <v>24.24</v>
          </cell>
          <cell r="C101">
            <v>29.68</v>
          </cell>
          <cell r="D101">
            <v>35.78</v>
          </cell>
          <cell r="E101">
            <v>22.73</v>
          </cell>
          <cell r="F101">
            <v>-0.1696</v>
          </cell>
        </row>
        <row r="102">
          <cell r="A102">
            <v>43952</v>
          </cell>
          <cell r="B102">
            <v>18.149999999999999</v>
          </cell>
          <cell r="C102">
            <v>24.24</v>
          </cell>
          <cell r="D102">
            <v>26.91</v>
          </cell>
          <cell r="E102">
            <v>17.23</v>
          </cell>
          <cell r="F102">
            <v>-0.25119999999999998</v>
          </cell>
        </row>
        <row r="103">
          <cell r="A103">
            <v>43983</v>
          </cell>
          <cell r="B103">
            <v>19.649999999999999</v>
          </cell>
          <cell r="C103">
            <v>18.86</v>
          </cell>
          <cell r="D103">
            <v>23.06</v>
          </cell>
          <cell r="E103">
            <v>17.350000000000001</v>
          </cell>
          <cell r="F103">
            <v>8.2600000000000007E-2</v>
          </cell>
        </row>
        <row r="104">
          <cell r="A104">
            <v>44013</v>
          </cell>
          <cell r="B104">
            <v>24.46</v>
          </cell>
          <cell r="C104">
            <v>19.649999999999999</v>
          </cell>
          <cell r="D104">
            <v>29.27</v>
          </cell>
          <cell r="E104">
            <v>14.13</v>
          </cell>
          <cell r="F104">
            <v>0.24479999999999999</v>
          </cell>
        </row>
        <row r="105">
          <cell r="A105">
            <v>44044</v>
          </cell>
          <cell r="B105">
            <v>24.32</v>
          </cell>
          <cell r="C105">
            <v>24.46</v>
          </cell>
          <cell r="D105">
            <v>28.8</v>
          </cell>
          <cell r="E105">
            <v>20.13</v>
          </cell>
          <cell r="F105">
            <v>-5.7000000000000002E-3</v>
          </cell>
        </row>
        <row r="106">
          <cell r="A106">
            <v>44075</v>
          </cell>
          <cell r="B106">
            <v>22.07</v>
          </cell>
          <cell r="C106">
            <v>24.32</v>
          </cell>
          <cell r="D106">
            <v>24.68</v>
          </cell>
          <cell r="E106">
            <v>19.57</v>
          </cell>
          <cell r="F106">
            <v>-9.2499999999999999E-2</v>
          </cell>
        </row>
        <row r="107">
          <cell r="A107">
            <v>44105</v>
          </cell>
          <cell r="B107">
            <v>23.26</v>
          </cell>
          <cell r="C107">
            <v>22.07</v>
          </cell>
          <cell r="D107">
            <v>23.72</v>
          </cell>
          <cell r="E107">
            <v>15.81</v>
          </cell>
          <cell r="F107">
            <v>5.3900000000000003E-2</v>
          </cell>
        </row>
        <row r="108">
          <cell r="A108">
            <v>44136</v>
          </cell>
          <cell r="B108">
            <v>19.690000000000001</v>
          </cell>
          <cell r="C108">
            <v>23.26</v>
          </cell>
          <cell r="D108">
            <v>24.32</v>
          </cell>
          <cell r="E108">
            <v>15.74</v>
          </cell>
          <cell r="F108">
            <v>-0.1535</v>
          </cell>
        </row>
        <row r="109">
          <cell r="A109">
            <v>44166</v>
          </cell>
          <cell r="B109">
            <v>20.79</v>
          </cell>
          <cell r="C109">
            <v>19.760000000000002</v>
          </cell>
          <cell r="D109">
            <v>20.86</v>
          </cell>
          <cell r="E109">
            <v>18.14</v>
          </cell>
          <cell r="F109">
            <v>5.5899999999999998E-2</v>
          </cell>
        </row>
        <row r="110">
          <cell r="A110">
            <v>44197</v>
          </cell>
          <cell r="B110">
            <v>20.64</v>
          </cell>
          <cell r="C110">
            <v>22.09</v>
          </cell>
          <cell r="D110">
            <v>23.47</v>
          </cell>
          <cell r="E110">
            <v>17.62</v>
          </cell>
          <cell r="F110">
            <v>-7.1999999999999998E-3</v>
          </cell>
        </row>
        <row r="111">
          <cell r="A111">
            <v>44228</v>
          </cell>
          <cell r="B111">
            <v>21.08</v>
          </cell>
          <cell r="C111">
            <v>23.52</v>
          </cell>
          <cell r="D111">
            <v>24.03</v>
          </cell>
          <cell r="E111">
            <v>17.510000000000002</v>
          </cell>
          <cell r="F111">
            <v>2.1299999999999999E-2</v>
          </cell>
        </row>
        <row r="112">
          <cell r="A112">
            <v>44256</v>
          </cell>
          <cell r="B112">
            <v>17.07</v>
          </cell>
          <cell r="C112">
            <v>20.57</v>
          </cell>
          <cell r="D112">
            <v>22.64</v>
          </cell>
          <cell r="E112">
            <v>14.14</v>
          </cell>
          <cell r="F112">
            <v>-0.19020000000000001</v>
          </cell>
        </row>
        <row r="113">
          <cell r="A113">
            <v>44287</v>
          </cell>
          <cell r="B113">
            <v>14.58</v>
          </cell>
          <cell r="C113">
            <v>16.510000000000002</v>
          </cell>
          <cell r="D113">
            <v>17.239999999999998</v>
          </cell>
          <cell r="E113">
            <v>10.88</v>
          </cell>
          <cell r="F113">
            <v>-0.1459</v>
          </cell>
        </row>
        <row r="114">
          <cell r="A114">
            <v>44317</v>
          </cell>
          <cell r="B114">
            <v>16.079999999999998</v>
          </cell>
          <cell r="C114">
            <v>15.42</v>
          </cell>
          <cell r="D114">
            <v>19.690000000000001</v>
          </cell>
          <cell r="E114">
            <v>13.4</v>
          </cell>
          <cell r="F114">
            <v>0.10290000000000001</v>
          </cell>
        </row>
        <row r="115">
          <cell r="A115">
            <v>44348</v>
          </cell>
          <cell r="B115">
            <v>15.97</v>
          </cell>
          <cell r="C115">
            <v>16.39</v>
          </cell>
          <cell r="D115">
            <v>17.989999999999998</v>
          </cell>
          <cell r="E115">
            <v>11.09</v>
          </cell>
          <cell r="F115">
            <v>-6.7999999999999996E-3</v>
          </cell>
        </row>
        <row r="116">
          <cell r="A116">
            <v>44378</v>
          </cell>
          <cell r="B116">
            <v>15.09</v>
          </cell>
          <cell r="C116">
            <v>15.97</v>
          </cell>
          <cell r="D116">
            <v>24.43</v>
          </cell>
          <cell r="E116">
            <v>8.7100000000000009</v>
          </cell>
          <cell r="F116">
            <v>-5.5100000000000003E-2</v>
          </cell>
        </row>
        <row r="117">
          <cell r="A117">
            <v>44409</v>
          </cell>
          <cell r="B117">
            <v>15.47</v>
          </cell>
          <cell r="C117">
            <v>15.25</v>
          </cell>
          <cell r="D117">
            <v>18.22</v>
          </cell>
          <cell r="E117">
            <v>10.02</v>
          </cell>
          <cell r="F117">
            <v>2.52E-2</v>
          </cell>
        </row>
        <row r="118">
          <cell r="A118">
            <v>44440</v>
          </cell>
          <cell r="B118">
            <v>17.16</v>
          </cell>
          <cell r="C118">
            <v>15.47</v>
          </cell>
          <cell r="D118">
            <v>20.94</v>
          </cell>
          <cell r="E118">
            <v>14.07</v>
          </cell>
          <cell r="F118">
            <v>0.10920000000000001</v>
          </cell>
        </row>
        <row r="119">
          <cell r="A119">
            <v>44470</v>
          </cell>
          <cell r="B119">
            <v>16.07</v>
          </cell>
          <cell r="C119">
            <v>17.16</v>
          </cell>
          <cell r="D119">
            <v>17.41</v>
          </cell>
          <cell r="E119">
            <v>13.24</v>
          </cell>
          <cell r="F119">
            <v>-6.3500000000000001E-2</v>
          </cell>
        </row>
        <row r="120">
          <cell r="A120">
            <v>44501</v>
          </cell>
          <cell r="B120">
            <v>17.989999999999998</v>
          </cell>
          <cell r="C120">
            <v>16.28</v>
          </cell>
          <cell r="D120">
            <v>22.59</v>
          </cell>
          <cell r="E120">
            <v>15.41</v>
          </cell>
          <cell r="F120">
            <v>0.1195</v>
          </cell>
        </row>
        <row r="121">
          <cell r="A121">
            <v>44531</v>
          </cell>
          <cell r="B121">
            <v>14.61</v>
          </cell>
          <cell r="C121">
            <v>17.989999999999998</v>
          </cell>
          <cell r="D121">
            <v>34.57</v>
          </cell>
          <cell r="E121">
            <v>14.26</v>
          </cell>
          <cell r="F121">
            <v>-0.18790000000000001</v>
          </cell>
        </row>
        <row r="122">
          <cell r="A122">
            <v>44562</v>
          </cell>
          <cell r="B122">
            <v>16.7</v>
          </cell>
          <cell r="C122">
            <v>14.61</v>
          </cell>
          <cell r="D122">
            <v>23.11</v>
          </cell>
          <cell r="E122">
            <v>14.57</v>
          </cell>
          <cell r="F122">
            <v>0.1431</v>
          </cell>
        </row>
        <row r="123">
          <cell r="A123">
            <v>44593</v>
          </cell>
          <cell r="B123">
            <v>20.97</v>
          </cell>
          <cell r="C123">
            <v>16.7</v>
          </cell>
          <cell r="D123">
            <v>21.06</v>
          </cell>
          <cell r="E123">
            <v>15.24</v>
          </cell>
          <cell r="F123">
            <v>0.25569999999999998</v>
          </cell>
        </row>
        <row r="124">
          <cell r="A124">
            <v>44621</v>
          </cell>
          <cell r="B124">
            <v>20.25</v>
          </cell>
          <cell r="C124">
            <v>20.97</v>
          </cell>
          <cell r="D124">
            <v>33.770000000000003</v>
          </cell>
          <cell r="E124">
            <v>17.760000000000002</v>
          </cell>
          <cell r="F124">
            <v>-3.4299999999999997E-2</v>
          </cell>
        </row>
        <row r="125">
          <cell r="A125">
            <v>44652</v>
          </cell>
          <cell r="B125">
            <v>19.829999999999998</v>
          </cell>
          <cell r="C125">
            <v>20.25</v>
          </cell>
          <cell r="D125">
            <v>29.79</v>
          </cell>
          <cell r="E125">
            <v>16.53</v>
          </cell>
          <cell r="F125">
            <v>-2.07E-2</v>
          </cell>
        </row>
        <row r="126">
          <cell r="A126">
            <v>44682</v>
          </cell>
          <cell r="B126">
            <v>17.190000000000001</v>
          </cell>
          <cell r="C126">
            <v>20.47</v>
          </cell>
          <cell r="D126">
            <v>26.52</v>
          </cell>
          <cell r="E126">
            <v>13.17</v>
          </cell>
          <cell r="F126">
            <v>-0.1331</v>
          </cell>
        </row>
        <row r="127">
          <cell r="A127">
            <v>44713</v>
          </cell>
          <cell r="B127">
            <v>19.61</v>
          </cell>
          <cell r="C127">
            <v>17.190000000000001</v>
          </cell>
          <cell r="D127">
            <v>22.27</v>
          </cell>
          <cell r="E127">
            <v>14.86</v>
          </cell>
          <cell r="F127">
            <v>0.14080000000000001</v>
          </cell>
        </row>
        <row r="128">
          <cell r="A128">
            <v>44743</v>
          </cell>
          <cell r="B128">
            <v>16.489999999999998</v>
          </cell>
          <cell r="C128">
            <v>20.64</v>
          </cell>
          <cell r="D128">
            <v>23.25</v>
          </cell>
          <cell r="E128">
            <v>16.09</v>
          </cell>
          <cell r="F128">
            <v>-0.15909999999999999</v>
          </cell>
        </row>
        <row r="129">
          <cell r="A129">
            <v>44774</v>
          </cell>
          <cell r="B129">
            <v>17.02</v>
          </cell>
          <cell r="C129">
            <v>17.5</v>
          </cell>
          <cell r="D129">
            <v>17.84</v>
          </cell>
          <cell r="E129">
            <v>15.07</v>
          </cell>
          <cell r="F129">
            <v>3.2099999999999997E-2</v>
          </cell>
        </row>
        <row r="130">
          <cell r="A130">
            <v>44805</v>
          </cell>
          <cell r="B130">
            <v>19.52</v>
          </cell>
          <cell r="C130">
            <v>17.25</v>
          </cell>
          <cell r="D130">
            <v>20.71</v>
          </cell>
          <cell r="E130">
            <v>15.65</v>
          </cell>
          <cell r="F130">
            <v>0.1469</v>
          </cell>
        </row>
        <row r="131">
          <cell r="A131">
            <v>44835</v>
          </cell>
          <cell r="B131">
            <v>18.27</v>
          </cell>
          <cell r="C131">
            <v>20.11</v>
          </cell>
          <cell r="D131">
            <v>21.01</v>
          </cell>
          <cell r="E131">
            <v>17.93</v>
          </cell>
          <cell r="F131">
            <v>-6.4000000000000001E-2</v>
          </cell>
        </row>
        <row r="132">
          <cell r="A132">
            <v>44866</v>
          </cell>
          <cell r="B132">
            <v>15.45</v>
          </cell>
          <cell r="C132">
            <v>18.54</v>
          </cell>
          <cell r="D132">
            <v>19.079999999999998</v>
          </cell>
          <cell r="E132">
            <v>15.12</v>
          </cell>
          <cell r="F132">
            <v>-0.15440000000000001</v>
          </cell>
        </row>
        <row r="133">
          <cell r="A133">
            <v>44896</v>
          </cell>
          <cell r="B133">
            <v>16.25</v>
          </cell>
          <cell r="C133">
            <v>15.52</v>
          </cell>
          <cell r="D133">
            <v>16.91</v>
          </cell>
          <cell r="E133">
            <v>13.04</v>
          </cell>
          <cell r="F133">
            <v>5.1799999999999999E-2</v>
          </cell>
        </row>
        <row r="134">
          <cell r="A134">
            <v>44927</v>
          </cell>
          <cell r="B134">
            <v>15.75</v>
          </cell>
          <cell r="C134">
            <v>17.28</v>
          </cell>
          <cell r="D134">
            <v>17.510000000000002</v>
          </cell>
          <cell r="E134">
            <v>15.21</v>
          </cell>
          <cell r="F134">
            <v>-3.0800000000000001E-2</v>
          </cell>
        </row>
        <row r="135">
          <cell r="A135">
            <v>44958</v>
          </cell>
          <cell r="B135">
            <v>14.17</v>
          </cell>
          <cell r="C135">
            <v>15.72</v>
          </cell>
          <cell r="D135">
            <v>16.170000000000002</v>
          </cell>
          <cell r="E135">
            <v>14.06</v>
          </cell>
          <cell r="F135">
            <v>-0.1003</v>
          </cell>
        </row>
        <row r="136">
          <cell r="A136">
            <v>44986</v>
          </cell>
          <cell r="B136">
            <v>17.309999999999999</v>
          </cell>
          <cell r="C136">
            <v>14.11</v>
          </cell>
          <cell r="D136">
            <v>24.56</v>
          </cell>
          <cell r="E136">
            <v>13.63</v>
          </cell>
          <cell r="F136">
            <v>0.22159999999999999</v>
          </cell>
        </row>
        <row r="137">
          <cell r="A137">
            <v>45017</v>
          </cell>
          <cell r="B137">
            <v>16.47</v>
          </cell>
          <cell r="C137">
            <v>17.899999999999999</v>
          </cell>
          <cell r="D137">
            <v>20.239999999999998</v>
          </cell>
          <cell r="E137">
            <v>16.39</v>
          </cell>
          <cell r="F137">
            <v>-4.8500000000000001E-2</v>
          </cell>
        </row>
        <row r="138">
          <cell r="A138">
            <v>45047</v>
          </cell>
          <cell r="B138">
            <v>15.63</v>
          </cell>
          <cell r="C138">
            <v>17.14</v>
          </cell>
          <cell r="D138">
            <v>21.05</v>
          </cell>
          <cell r="E138">
            <v>15.6</v>
          </cell>
          <cell r="F138">
            <v>-5.0999999999999997E-2</v>
          </cell>
        </row>
        <row r="139">
          <cell r="A139">
            <v>45078</v>
          </cell>
          <cell r="B139">
            <v>12.04</v>
          </cell>
          <cell r="C139">
            <v>15.74</v>
          </cell>
          <cell r="D139">
            <v>16.66</v>
          </cell>
          <cell r="E139">
            <v>12</v>
          </cell>
          <cell r="F139">
            <v>-0.22969999999999999</v>
          </cell>
        </row>
        <row r="140">
          <cell r="A140">
            <v>45108</v>
          </cell>
          <cell r="B140">
            <v>12.16</v>
          </cell>
          <cell r="C140">
            <v>12.44</v>
          </cell>
          <cell r="D140">
            <v>14.8</v>
          </cell>
          <cell r="E140">
            <v>11.78</v>
          </cell>
          <cell r="F140">
            <v>0.01</v>
          </cell>
        </row>
        <row r="141">
          <cell r="A141">
            <v>45139</v>
          </cell>
          <cell r="B141">
            <v>11.78</v>
          </cell>
          <cell r="C141">
            <v>12.1</v>
          </cell>
          <cell r="D141">
            <v>14.39</v>
          </cell>
          <cell r="E141">
            <v>11.42</v>
          </cell>
          <cell r="F141">
            <v>-3.1300000000000001E-2</v>
          </cell>
        </row>
        <row r="142">
          <cell r="A142">
            <v>45170</v>
          </cell>
          <cell r="B142">
            <v>12.94</v>
          </cell>
          <cell r="C142">
            <v>11.51</v>
          </cell>
          <cell r="D142">
            <v>14.47</v>
          </cell>
          <cell r="E142">
            <v>10.220000000000001</v>
          </cell>
          <cell r="F142">
            <v>9.8500000000000004E-2</v>
          </cell>
        </row>
        <row r="143">
          <cell r="A143">
            <v>45200</v>
          </cell>
          <cell r="B143">
            <v>16.23</v>
          </cell>
          <cell r="C143">
            <v>13.58</v>
          </cell>
          <cell r="D143">
            <v>20.02</v>
          </cell>
          <cell r="E143">
            <v>13.57</v>
          </cell>
          <cell r="F143">
            <v>0.25430000000000003</v>
          </cell>
        </row>
        <row r="144">
          <cell r="A144">
            <v>45231</v>
          </cell>
          <cell r="B144">
            <v>14.22</v>
          </cell>
          <cell r="C144">
            <v>15.89</v>
          </cell>
          <cell r="D144">
            <v>16.510000000000002</v>
          </cell>
          <cell r="E144">
            <v>12.54</v>
          </cell>
          <cell r="F144">
            <v>-0.12379999999999999</v>
          </cell>
        </row>
        <row r="145">
          <cell r="A145">
            <v>45261</v>
          </cell>
          <cell r="B145">
            <v>15.85</v>
          </cell>
          <cell r="C145">
            <v>14.24</v>
          </cell>
          <cell r="D145">
            <v>19.850000000000001</v>
          </cell>
          <cell r="E145">
            <v>11.7</v>
          </cell>
          <cell r="F145">
            <v>0.11459999999999999</v>
          </cell>
        </row>
        <row r="146">
          <cell r="A146">
            <v>45292</v>
          </cell>
          <cell r="B146">
            <v>13.16</v>
          </cell>
          <cell r="C146">
            <v>16.010000000000002</v>
          </cell>
          <cell r="D146">
            <v>16.59</v>
          </cell>
          <cell r="E146">
            <v>11.86</v>
          </cell>
          <cell r="F146">
            <v>-0.16969999999999999</v>
          </cell>
        </row>
        <row r="147">
          <cell r="A147">
            <v>45323</v>
          </cell>
          <cell r="B147">
            <v>11.16</v>
          </cell>
          <cell r="C147">
            <v>13.83</v>
          </cell>
          <cell r="D147">
            <v>19.04</v>
          </cell>
          <cell r="E147">
            <v>10.85</v>
          </cell>
          <cell r="F147">
            <v>-0.152</v>
          </cell>
        </row>
        <row r="148">
          <cell r="A148">
            <v>45352</v>
          </cell>
          <cell r="B148">
            <v>15.44</v>
          </cell>
          <cell r="C148">
            <v>11.47</v>
          </cell>
          <cell r="D148">
            <v>17.309999999999999</v>
          </cell>
          <cell r="E148">
            <v>11.44</v>
          </cell>
          <cell r="F148">
            <v>0.38350000000000001</v>
          </cell>
        </row>
        <row r="149">
          <cell r="A149">
            <v>45383</v>
          </cell>
          <cell r="B149">
            <v>16.54</v>
          </cell>
          <cell r="C149">
            <v>17.14</v>
          </cell>
          <cell r="D149">
            <v>24.19</v>
          </cell>
          <cell r="E149">
            <v>15.53</v>
          </cell>
          <cell r="F149">
            <v>7.1199999999999999E-2</v>
          </cell>
        </row>
        <row r="150">
          <cell r="A150">
            <v>45413</v>
          </cell>
          <cell r="B150">
            <v>15.26</v>
          </cell>
          <cell r="C150">
            <v>16.809999999999999</v>
          </cell>
          <cell r="D150">
            <v>19.670000000000002</v>
          </cell>
          <cell r="E150">
            <v>15.11</v>
          </cell>
          <cell r="F150">
            <v>-7.7399999999999997E-2</v>
          </cell>
        </row>
        <row r="151">
          <cell r="A151">
            <v>45444</v>
          </cell>
          <cell r="B151">
            <v>14.72</v>
          </cell>
          <cell r="C151">
            <v>15.55</v>
          </cell>
          <cell r="D151">
            <v>17.62</v>
          </cell>
          <cell r="E151">
            <v>14.72</v>
          </cell>
          <cell r="F151">
            <v>-3.5400000000000001E-2</v>
          </cell>
        </row>
        <row r="152">
          <cell r="A152">
            <v>45474</v>
          </cell>
          <cell r="B152">
            <v>17.88</v>
          </cell>
          <cell r="C152">
            <v>15.05</v>
          </cell>
          <cell r="D152">
            <v>18.18</v>
          </cell>
          <cell r="E152">
            <v>13.93</v>
          </cell>
          <cell r="F152">
            <v>0.2147</v>
          </cell>
        </row>
        <row r="153">
          <cell r="A153">
            <v>45505</v>
          </cell>
          <cell r="B153">
            <v>16.399999999999999</v>
          </cell>
          <cell r="C153">
            <v>17.43</v>
          </cell>
          <cell r="D153">
            <v>22.85</v>
          </cell>
          <cell r="E153">
            <v>16.38</v>
          </cell>
          <cell r="F153">
            <v>-8.2799999999999999E-2</v>
          </cell>
        </row>
        <row r="154">
          <cell r="A154">
            <v>45536</v>
          </cell>
          <cell r="B154">
            <v>18.079999999999998</v>
          </cell>
          <cell r="C154">
            <v>16.77</v>
          </cell>
          <cell r="D154">
            <v>23.02</v>
          </cell>
          <cell r="E154">
            <v>15.45</v>
          </cell>
          <cell r="F154">
            <v>0.1024</v>
          </cell>
        </row>
        <row r="155">
          <cell r="A155">
            <v>45566</v>
          </cell>
          <cell r="B155">
            <v>19.46</v>
          </cell>
          <cell r="C155">
            <v>18.05</v>
          </cell>
          <cell r="D155">
            <v>20.2</v>
          </cell>
          <cell r="E155">
            <v>16.04</v>
          </cell>
          <cell r="F155">
            <v>7.6300000000000007E-2</v>
          </cell>
        </row>
        <row r="156">
          <cell r="A156">
            <v>45597</v>
          </cell>
          <cell r="B156">
            <v>16.37</v>
          </cell>
          <cell r="C156">
            <v>19.309999999999999</v>
          </cell>
          <cell r="D156">
            <v>20.3</v>
          </cell>
          <cell r="E156">
            <v>15.88</v>
          </cell>
          <cell r="F156">
            <v>-0.1588</v>
          </cell>
        </row>
        <row r="157">
          <cell r="A157">
            <v>45627</v>
          </cell>
          <cell r="B157">
            <v>14.62</v>
          </cell>
          <cell r="C157">
            <v>16.8</v>
          </cell>
          <cell r="D157">
            <v>18.27</v>
          </cell>
          <cell r="E157">
            <v>14.28</v>
          </cell>
          <cell r="F157">
            <v>-0.1069</v>
          </cell>
        </row>
        <row r="158">
          <cell r="A158">
            <v>45658</v>
          </cell>
          <cell r="B158">
            <v>15.82</v>
          </cell>
          <cell r="C158">
            <v>14.79</v>
          </cell>
          <cell r="D158">
            <v>18.43</v>
          </cell>
          <cell r="E158">
            <v>14.49</v>
          </cell>
          <cell r="F158">
            <v>8.2100000000000006E-2</v>
          </cell>
        </row>
        <row r="159">
          <cell r="A159">
            <v>45689</v>
          </cell>
          <cell r="B159">
            <v>15.82</v>
          </cell>
          <cell r="C159">
            <v>17.47</v>
          </cell>
          <cell r="D159">
            <v>19.48</v>
          </cell>
          <cell r="E159">
            <v>15.28</v>
          </cell>
          <cell r="F159">
            <v>0</v>
          </cell>
        </row>
        <row r="160">
          <cell r="A160">
            <v>45717</v>
          </cell>
          <cell r="B160">
            <v>17.84</v>
          </cell>
          <cell r="C160">
            <v>16.32</v>
          </cell>
          <cell r="D160">
            <v>19.170000000000002</v>
          </cell>
          <cell r="E160">
            <v>14.95</v>
          </cell>
          <cell r="F160">
            <v>0.12770000000000001</v>
          </cell>
        </row>
        <row r="161">
          <cell r="A161">
            <v>45748</v>
          </cell>
          <cell r="B161">
            <v>21.52</v>
          </cell>
          <cell r="C161">
            <v>18.04</v>
          </cell>
          <cell r="D161">
            <v>29.9</v>
          </cell>
          <cell r="E161">
            <v>16.72</v>
          </cell>
          <cell r="F161">
            <v>0.20630000000000001</v>
          </cell>
        </row>
        <row r="162">
          <cell r="A162">
            <v>45778</v>
          </cell>
          <cell r="B162">
            <v>19.100000000000001</v>
          </cell>
          <cell r="C162">
            <v>21.86</v>
          </cell>
          <cell r="D162">
            <v>24.75</v>
          </cell>
          <cell r="E162">
            <v>18.829999999999998</v>
          </cell>
          <cell r="F162">
            <v>-0.1125</v>
          </cell>
        </row>
        <row r="163">
          <cell r="A163">
            <v>45809</v>
          </cell>
          <cell r="B163">
            <v>17.309999999999999</v>
          </cell>
          <cell r="C163">
            <v>20.22</v>
          </cell>
          <cell r="D163">
            <v>21.52</v>
          </cell>
          <cell r="E163">
            <v>16.309999999999999</v>
          </cell>
          <cell r="F163">
            <v>-9.3700000000000006E-2</v>
          </cell>
        </row>
        <row r="164">
          <cell r="A164">
            <v>45839</v>
          </cell>
          <cell r="B164">
            <v>16.04</v>
          </cell>
          <cell r="C164">
            <v>17.239999999999998</v>
          </cell>
          <cell r="D164">
            <v>19.079999999999998</v>
          </cell>
          <cell r="E164">
            <v>15.62</v>
          </cell>
          <cell r="F164">
            <v>-7.3400000000000007E-2</v>
          </cell>
        </row>
        <row r="165">
          <cell r="A165">
            <v>45870</v>
          </cell>
          <cell r="B165">
            <v>17.39</v>
          </cell>
          <cell r="C165">
            <v>16.53</v>
          </cell>
          <cell r="D165">
            <v>18.100000000000001</v>
          </cell>
          <cell r="E165">
            <v>14.47</v>
          </cell>
          <cell r="F165">
            <v>8.4199999999999997E-2</v>
          </cell>
        </row>
        <row r="166">
          <cell r="A166">
            <v>45901</v>
          </cell>
          <cell r="B166">
            <v>19.95</v>
          </cell>
          <cell r="C166">
            <v>17.91</v>
          </cell>
          <cell r="D166">
            <v>20</v>
          </cell>
          <cell r="E166">
            <v>16.059999999999999</v>
          </cell>
          <cell r="F166">
            <v>0.1472</v>
          </cell>
        </row>
        <row r="167">
          <cell r="A167">
            <v>45931</v>
          </cell>
          <cell r="B167">
            <v>22.66</v>
          </cell>
          <cell r="C167">
            <v>19.57</v>
          </cell>
          <cell r="D167">
            <v>33</v>
          </cell>
          <cell r="E167">
            <v>17.14</v>
          </cell>
          <cell r="F167">
            <v>0.1358</v>
          </cell>
        </row>
        <row r="168">
          <cell r="A168">
            <v>45962</v>
          </cell>
          <cell r="B168">
            <v>22.87</v>
          </cell>
          <cell r="C168">
            <v>22.47</v>
          </cell>
          <cell r="D168">
            <v>26.55</v>
          </cell>
          <cell r="E168">
            <v>20.02</v>
          </cell>
          <cell r="F168">
            <v>9.2999999999999992E-3</v>
          </cell>
        </row>
        <row r="169">
          <cell r="A169">
            <v>45992</v>
          </cell>
          <cell r="B169">
            <v>23.92</v>
          </cell>
          <cell r="C169">
            <v>23.61</v>
          </cell>
          <cell r="D169">
            <v>26.36</v>
          </cell>
          <cell r="E169">
            <v>19.39</v>
          </cell>
          <cell r="F169">
            <v>4.5900000000000003E-2</v>
          </cell>
        </row>
      </sheetData>
      <sheetData sheetId="11"/>
      <sheetData sheetId="12">
        <row r="1">
          <cell r="A1" t="str">
            <v>Date</v>
          </cell>
          <cell r="B1" t="str">
            <v>Open</v>
          </cell>
          <cell r="C1" t="str">
            <v>High</v>
          </cell>
          <cell r="D1" t="str">
            <v>Low</v>
          </cell>
          <cell r="E1" t="str">
            <v>Close</v>
          </cell>
        </row>
        <row r="2">
          <cell r="A2">
            <v>40909</v>
          </cell>
          <cell r="B2">
            <v>80.41</v>
          </cell>
          <cell r="C2">
            <v>81.78</v>
          </cell>
          <cell r="D2">
            <v>78.739999999999995</v>
          </cell>
          <cell r="E2">
            <v>79.290000000000006</v>
          </cell>
        </row>
        <row r="3">
          <cell r="A3">
            <v>40940</v>
          </cell>
          <cell r="B3">
            <v>79.3</v>
          </cell>
          <cell r="C3">
            <v>80.12</v>
          </cell>
          <cell r="D3">
            <v>78.099999999999994</v>
          </cell>
          <cell r="E3">
            <v>78.739999999999995</v>
          </cell>
        </row>
        <row r="4">
          <cell r="A4">
            <v>40969</v>
          </cell>
          <cell r="B4">
            <v>78.78</v>
          </cell>
          <cell r="C4">
            <v>80.739999999999995</v>
          </cell>
          <cell r="D4">
            <v>78.63</v>
          </cell>
          <cell r="E4">
            <v>79</v>
          </cell>
        </row>
        <row r="5">
          <cell r="A5">
            <v>41000</v>
          </cell>
          <cell r="B5">
            <v>78.77</v>
          </cell>
          <cell r="C5">
            <v>78.92</v>
          </cell>
          <cell r="D5">
            <v>78.64</v>
          </cell>
          <cell r="E5">
            <v>78.78</v>
          </cell>
        </row>
        <row r="6">
          <cell r="A6">
            <v>41030</v>
          </cell>
          <cell r="B6">
            <v>78.8</v>
          </cell>
          <cell r="C6">
            <v>83.22</v>
          </cell>
          <cell r="D6">
            <v>78.599999999999994</v>
          </cell>
          <cell r="E6">
            <v>83.04</v>
          </cell>
        </row>
        <row r="7">
          <cell r="A7">
            <v>41061</v>
          </cell>
          <cell r="B7">
            <v>83.1</v>
          </cell>
          <cell r="C7">
            <v>83.54</v>
          </cell>
          <cell r="D7">
            <v>81.19</v>
          </cell>
          <cell r="E7">
            <v>81.63</v>
          </cell>
        </row>
        <row r="8">
          <cell r="A8">
            <v>41091</v>
          </cell>
          <cell r="B8">
            <v>81.650000000000006</v>
          </cell>
          <cell r="C8">
            <v>84.1</v>
          </cell>
          <cell r="D8">
            <v>81.53</v>
          </cell>
          <cell r="E8">
            <v>82.64</v>
          </cell>
        </row>
        <row r="9">
          <cell r="A9">
            <v>41122</v>
          </cell>
          <cell r="B9">
            <v>82.7</v>
          </cell>
          <cell r="C9">
            <v>83.51</v>
          </cell>
          <cell r="D9">
            <v>80.959999999999994</v>
          </cell>
          <cell r="E9">
            <v>81.209999999999994</v>
          </cell>
        </row>
        <row r="10">
          <cell r="A10">
            <v>41153</v>
          </cell>
          <cell r="B10">
            <v>81.67</v>
          </cell>
          <cell r="C10">
            <v>81.72</v>
          </cell>
          <cell r="D10">
            <v>78.599999999999994</v>
          </cell>
          <cell r="E10">
            <v>79.94</v>
          </cell>
        </row>
        <row r="11">
          <cell r="A11">
            <v>41183</v>
          </cell>
          <cell r="B11">
            <v>80.12</v>
          </cell>
          <cell r="C11">
            <v>80.33</v>
          </cell>
          <cell r="D11">
            <v>78.94</v>
          </cell>
          <cell r="E11">
            <v>79.92</v>
          </cell>
        </row>
        <row r="12">
          <cell r="A12">
            <v>41214</v>
          </cell>
          <cell r="B12">
            <v>79.92</v>
          </cell>
          <cell r="C12">
            <v>81.459999999999994</v>
          </cell>
          <cell r="D12">
            <v>79.86</v>
          </cell>
          <cell r="E12">
            <v>80.150000000000006</v>
          </cell>
        </row>
        <row r="13">
          <cell r="A13">
            <v>41244</v>
          </cell>
          <cell r="B13">
            <v>80.180000000000007</v>
          </cell>
          <cell r="C13">
            <v>80.66</v>
          </cell>
          <cell r="D13">
            <v>79.010000000000005</v>
          </cell>
          <cell r="E13">
            <v>79.77</v>
          </cell>
        </row>
        <row r="14">
          <cell r="A14">
            <v>41275</v>
          </cell>
          <cell r="B14">
            <v>79.62</v>
          </cell>
          <cell r="C14">
            <v>80.87</v>
          </cell>
          <cell r="D14">
            <v>79.13</v>
          </cell>
          <cell r="E14">
            <v>79.209999999999994</v>
          </cell>
        </row>
        <row r="15">
          <cell r="A15">
            <v>41306</v>
          </cell>
          <cell r="B15">
            <v>79.099999999999994</v>
          </cell>
          <cell r="C15">
            <v>82</v>
          </cell>
          <cell r="D15">
            <v>78.92</v>
          </cell>
          <cell r="E15">
            <v>81.95</v>
          </cell>
        </row>
        <row r="16">
          <cell r="A16">
            <v>41334</v>
          </cell>
          <cell r="B16">
            <v>81.93</v>
          </cell>
          <cell r="C16">
            <v>83.3</v>
          </cell>
          <cell r="D16">
            <v>81.78</v>
          </cell>
          <cell r="E16">
            <v>83</v>
          </cell>
        </row>
        <row r="17">
          <cell r="A17">
            <v>41365</v>
          </cell>
          <cell r="B17">
            <v>83.05</v>
          </cell>
          <cell r="C17">
            <v>83.49</v>
          </cell>
          <cell r="D17">
            <v>81.599999999999994</v>
          </cell>
          <cell r="E17">
            <v>81.75</v>
          </cell>
        </row>
        <row r="18">
          <cell r="A18">
            <v>41395</v>
          </cell>
          <cell r="B18">
            <v>83.57</v>
          </cell>
          <cell r="C18">
            <v>83.71</v>
          </cell>
          <cell r="D18">
            <v>82.98</v>
          </cell>
          <cell r="E18">
            <v>83.38</v>
          </cell>
        </row>
        <row r="19">
          <cell r="A19">
            <v>41426</v>
          </cell>
          <cell r="B19">
            <v>83.27</v>
          </cell>
          <cell r="C19">
            <v>83.38</v>
          </cell>
          <cell r="D19">
            <v>80.5</v>
          </cell>
          <cell r="E19">
            <v>83.14</v>
          </cell>
        </row>
        <row r="20">
          <cell r="A20">
            <v>41456</v>
          </cell>
          <cell r="B20">
            <v>83.23</v>
          </cell>
          <cell r="C20">
            <v>84.75</v>
          </cell>
          <cell r="D20">
            <v>81.41</v>
          </cell>
          <cell r="E20">
            <v>81.45</v>
          </cell>
        </row>
        <row r="21">
          <cell r="A21">
            <v>41487</v>
          </cell>
          <cell r="B21">
            <v>81.67</v>
          </cell>
          <cell r="C21">
            <v>82.49</v>
          </cell>
          <cell r="D21">
            <v>80.75</v>
          </cell>
          <cell r="E21">
            <v>82.09</v>
          </cell>
        </row>
        <row r="22">
          <cell r="A22">
            <v>41518</v>
          </cell>
          <cell r="B22">
            <v>81.99</v>
          </cell>
          <cell r="C22">
            <v>82.67</v>
          </cell>
          <cell r="D22">
            <v>80.03</v>
          </cell>
          <cell r="E22">
            <v>80.22</v>
          </cell>
        </row>
        <row r="23">
          <cell r="A23">
            <v>41548</v>
          </cell>
          <cell r="B23">
            <v>80.260000000000005</v>
          </cell>
          <cell r="C23">
            <v>80.75</v>
          </cell>
          <cell r="D23">
            <v>79</v>
          </cell>
          <cell r="E23">
            <v>80.2</v>
          </cell>
        </row>
        <row r="24">
          <cell r="A24">
            <v>41579</v>
          </cell>
          <cell r="B24">
            <v>80.260000000000005</v>
          </cell>
          <cell r="C24">
            <v>81.48</v>
          </cell>
          <cell r="D24">
            <v>80.25</v>
          </cell>
          <cell r="E24">
            <v>80.680000000000007</v>
          </cell>
        </row>
        <row r="25">
          <cell r="A25">
            <v>41609</v>
          </cell>
          <cell r="B25">
            <v>80.66</v>
          </cell>
          <cell r="C25">
            <v>80.989999999999995</v>
          </cell>
          <cell r="D25">
            <v>79.69</v>
          </cell>
          <cell r="E25">
            <v>80.040000000000006</v>
          </cell>
        </row>
        <row r="26">
          <cell r="A26">
            <v>41640</v>
          </cell>
          <cell r="B26">
            <v>80</v>
          </cell>
          <cell r="C26">
            <v>81.39</v>
          </cell>
          <cell r="D26">
            <v>79.97</v>
          </cell>
          <cell r="E26">
            <v>81.31</v>
          </cell>
        </row>
        <row r="27">
          <cell r="A27">
            <v>41671</v>
          </cell>
          <cell r="B27">
            <v>81.28</v>
          </cell>
          <cell r="C27">
            <v>81.319999999999993</v>
          </cell>
          <cell r="D27">
            <v>79.69</v>
          </cell>
          <cell r="E27">
            <v>79.69</v>
          </cell>
        </row>
        <row r="28">
          <cell r="A28">
            <v>41699</v>
          </cell>
          <cell r="B28">
            <v>79.84</v>
          </cell>
          <cell r="C28">
            <v>80.349999999999994</v>
          </cell>
          <cell r="D28">
            <v>79.27</v>
          </cell>
          <cell r="E28">
            <v>80.11</v>
          </cell>
        </row>
        <row r="29">
          <cell r="A29">
            <v>41730</v>
          </cell>
          <cell r="B29">
            <v>80.11</v>
          </cell>
          <cell r="C29">
            <v>80.599999999999994</v>
          </cell>
          <cell r="D29">
            <v>79.33</v>
          </cell>
          <cell r="E29">
            <v>79.510000000000005</v>
          </cell>
        </row>
        <row r="30">
          <cell r="A30">
            <v>41760</v>
          </cell>
          <cell r="B30">
            <v>79.510000000000005</v>
          </cell>
          <cell r="C30">
            <v>80.58</v>
          </cell>
          <cell r="D30">
            <v>78.91</v>
          </cell>
          <cell r="E30">
            <v>80.39</v>
          </cell>
        </row>
        <row r="31">
          <cell r="A31">
            <v>41791</v>
          </cell>
          <cell r="B31">
            <v>80.040000000000006</v>
          </cell>
          <cell r="C31">
            <v>80.09</v>
          </cell>
          <cell r="D31">
            <v>79.760000000000005</v>
          </cell>
          <cell r="E31">
            <v>79.78</v>
          </cell>
        </row>
        <row r="32">
          <cell r="A32">
            <v>41821</v>
          </cell>
          <cell r="B32">
            <v>79.8</v>
          </cell>
          <cell r="C32">
            <v>81.569999999999993</v>
          </cell>
          <cell r="D32">
            <v>79.739999999999995</v>
          </cell>
          <cell r="E32">
            <v>81.459999999999994</v>
          </cell>
        </row>
        <row r="33">
          <cell r="A33">
            <v>41852</v>
          </cell>
          <cell r="B33">
            <v>81.459999999999994</v>
          </cell>
          <cell r="C33">
            <v>82.75</v>
          </cell>
          <cell r="D33">
            <v>81.19</v>
          </cell>
          <cell r="E33">
            <v>82.74</v>
          </cell>
        </row>
        <row r="34">
          <cell r="A34">
            <v>41883</v>
          </cell>
          <cell r="B34">
            <v>82.48</v>
          </cell>
          <cell r="C34">
            <v>86.22</v>
          </cell>
          <cell r="D34">
            <v>82.42</v>
          </cell>
          <cell r="E34">
            <v>85.93</v>
          </cell>
        </row>
        <row r="35">
          <cell r="A35">
            <v>41913</v>
          </cell>
          <cell r="B35">
            <v>85.91</v>
          </cell>
          <cell r="C35">
            <v>87.13</v>
          </cell>
          <cell r="D35">
            <v>84.47</v>
          </cell>
          <cell r="E35">
            <v>86.92</v>
          </cell>
        </row>
        <row r="36">
          <cell r="A36">
            <v>41944</v>
          </cell>
          <cell r="B36">
            <v>87.09</v>
          </cell>
          <cell r="C36">
            <v>88.44</v>
          </cell>
          <cell r="D36">
            <v>86.88</v>
          </cell>
          <cell r="E36">
            <v>88.22</v>
          </cell>
        </row>
        <row r="37">
          <cell r="A37">
            <v>41974</v>
          </cell>
          <cell r="B37">
            <v>88.3</v>
          </cell>
          <cell r="C37">
            <v>90.33</v>
          </cell>
          <cell r="D37">
            <v>87.63</v>
          </cell>
          <cell r="E37">
            <v>90.28</v>
          </cell>
        </row>
        <row r="38">
          <cell r="A38">
            <v>42005</v>
          </cell>
          <cell r="B38">
            <v>89.95</v>
          </cell>
          <cell r="C38">
            <v>95.48</v>
          </cell>
          <cell r="D38">
            <v>89.86</v>
          </cell>
          <cell r="E38">
            <v>94.85</v>
          </cell>
        </row>
        <row r="39">
          <cell r="A39">
            <v>42036</v>
          </cell>
          <cell r="B39">
            <v>94.67</v>
          </cell>
          <cell r="C39">
            <v>95.36</v>
          </cell>
          <cell r="D39">
            <v>93.25</v>
          </cell>
          <cell r="E39">
            <v>95.25</v>
          </cell>
        </row>
        <row r="40">
          <cell r="A40">
            <v>42064</v>
          </cell>
          <cell r="B40">
            <v>95.36</v>
          </cell>
          <cell r="C40">
            <v>100.39</v>
          </cell>
          <cell r="D40">
            <v>95.06</v>
          </cell>
          <cell r="E40">
            <v>98.38</v>
          </cell>
        </row>
        <row r="41">
          <cell r="A41">
            <v>42095</v>
          </cell>
          <cell r="B41">
            <v>98.4</v>
          </cell>
          <cell r="C41">
            <v>99.99</v>
          </cell>
          <cell r="D41">
            <v>94.4</v>
          </cell>
          <cell r="E41">
            <v>94.81</v>
          </cell>
        </row>
        <row r="42">
          <cell r="A42">
            <v>42125</v>
          </cell>
          <cell r="B42">
            <v>94.83</v>
          </cell>
          <cell r="C42">
            <v>97.78</v>
          </cell>
          <cell r="D42">
            <v>93.13</v>
          </cell>
          <cell r="E42">
            <v>96.89</v>
          </cell>
        </row>
        <row r="43">
          <cell r="A43">
            <v>42156</v>
          </cell>
          <cell r="B43">
            <v>96.89</v>
          </cell>
          <cell r="C43">
            <v>97.68</v>
          </cell>
          <cell r="D43">
            <v>93.56</v>
          </cell>
          <cell r="E43">
            <v>95.53</v>
          </cell>
        </row>
        <row r="44">
          <cell r="A44">
            <v>42186</v>
          </cell>
          <cell r="B44">
            <v>96.64</v>
          </cell>
          <cell r="C44">
            <v>97.77</v>
          </cell>
          <cell r="D44">
            <v>96.31</v>
          </cell>
          <cell r="E44">
            <v>97.19</v>
          </cell>
        </row>
        <row r="45">
          <cell r="A45">
            <v>42217</v>
          </cell>
          <cell r="B45">
            <v>97.47</v>
          </cell>
          <cell r="C45">
            <v>98.33</v>
          </cell>
          <cell r="D45">
            <v>92.62</v>
          </cell>
          <cell r="E45">
            <v>95.93</v>
          </cell>
        </row>
        <row r="46">
          <cell r="A46">
            <v>42248</v>
          </cell>
          <cell r="B46">
            <v>95.91</v>
          </cell>
          <cell r="C46">
            <v>96.7</v>
          </cell>
          <cell r="D46">
            <v>94.06</v>
          </cell>
          <cell r="E46">
            <v>96.28</v>
          </cell>
        </row>
        <row r="47">
          <cell r="A47">
            <v>42278</v>
          </cell>
          <cell r="B47">
            <v>96.27</v>
          </cell>
          <cell r="C47">
            <v>97.82</v>
          </cell>
          <cell r="D47">
            <v>93.81</v>
          </cell>
          <cell r="E47">
            <v>96.92</v>
          </cell>
        </row>
        <row r="48">
          <cell r="A48">
            <v>42309</v>
          </cell>
          <cell r="B48">
            <v>97.19</v>
          </cell>
          <cell r="C48">
            <v>100.31</v>
          </cell>
          <cell r="D48">
            <v>96.64</v>
          </cell>
          <cell r="E48">
            <v>100.2</v>
          </cell>
        </row>
        <row r="49">
          <cell r="A49">
            <v>42339</v>
          </cell>
          <cell r="B49">
            <v>100.23</v>
          </cell>
          <cell r="C49">
            <v>100.51</v>
          </cell>
          <cell r="D49">
            <v>97.19</v>
          </cell>
          <cell r="E49">
            <v>98.69</v>
          </cell>
        </row>
        <row r="50">
          <cell r="A50">
            <v>42370</v>
          </cell>
          <cell r="B50">
            <v>98.22</v>
          </cell>
          <cell r="C50">
            <v>99.83</v>
          </cell>
          <cell r="D50">
            <v>98.05</v>
          </cell>
          <cell r="E50">
            <v>99.53</v>
          </cell>
        </row>
        <row r="51">
          <cell r="A51">
            <v>42401</v>
          </cell>
          <cell r="B51">
            <v>98.65</v>
          </cell>
          <cell r="C51">
            <v>99.63</v>
          </cell>
          <cell r="D51">
            <v>95.24</v>
          </cell>
          <cell r="E51">
            <v>98.15</v>
          </cell>
        </row>
        <row r="52">
          <cell r="A52">
            <v>42430</v>
          </cell>
          <cell r="B52">
            <v>98.18</v>
          </cell>
          <cell r="C52">
            <v>98.58</v>
          </cell>
          <cell r="D52">
            <v>94.32</v>
          </cell>
          <cell r="E52">
            <v>94.63</v>
          </cell>
        </row>
        <row r="53">
          <cell r="A53">
            <v>42461</v>
          </cell>
          <cell r="B53">
            <v>94.64</v>
          </cell>
          <cell r="C53">
            <v>95.2</v>
          </cell>
          <cell r="D53">
            <v>93.01</v>
          </cell>
          <cell r="E53">
            <v>93.08</v>
          </cell>
        </row>
        <row r="54">
          <cell r="A54">
            <v>42491</v>
          </cell>
          <cell r="B54">
            <v>93.02</v>
          </cell>
          <cell r="C54">
            <v>95.97</v>
          </cell>
          <cell r="D54">
            <v>91.92</v>
          </cell>
          <cell r="E54">
            <v>95.8</v>
          </cell>
        </row>
        <row r="55">
          <cell r="A55">
            <v>42522</v>
          </cell>
          <cell r="B55">
            <v>95.81</v>
          </cell>
          <cell r="C55">
            <v>96.71</v>
          </cell>
          <cell r="D55">
            <v>93.02</v>
          </cell>
          <cell r="E55">
            <v>95.96</v>
          </cell>
        </row>
        <row r="56">
          <cell r="A56">
            <v>42552</v>
          </cell>
          <cell r="B56">
            <v>95.89</v>
          </cell>
          <cell r="C56">
            <v>97.57</v>
          </cell>
          <cell r="D56">
            <v>95.34</v>
          </cell>
          <cell r="E56">
            <v>95.52</v>
          </cell>
        </row>
        <row r="57">
          <cell r="A57">
            <v>42583</v>
          </cell>
          <cell r="B57">
            <v>96.01</v>
          </cell>
          <cell r="C57">
            <v>96.26</v>
          </cell>
          <cell r="D57">
            <v>95.9</v>
          </cell>
          <cell r="E57">
            <v>95.99</v>
          </cell>
        </row>
        <row r="58">
          <cell r="A58">
            <v>42614</v>
          </cell>
          <cell r="B58">
            <v>95.98</v>
          </cell>
          <cell r="C58">
            <v>96.33</v>
          </cell>
          <cell r="D58">
            <v>94.47</v>
          </cell>
          <cell r="E58">
            <v>95.42</v>
          </cell>
        </row>
        <row r="59">
          <cell r="A59">
            <v>42644</v>
          </cell>
          <cell r="B59">
            <v>95.42</v>
          </cell>
          <cell r="C59">
            <v>99.12</v>
          </cell>
          <cell r="D59">
            <v>95.46</v>
          </cell>
          <cell r="E59">
            <v>98.36</v>
          </cell>
        </row>
        <row r="60">
          <cell r="A60">
            <v>42675</v>
          </cell>
          <cell r="B60">
            <v>98.39</v>
          </cell>
          <cell r="C60">
            <v>102.05</v>
          </cell>
          <cell r="D60">
            <v>95.89</v>
          </cell>
          <cell r="E60">
            <v>101.53</v>
          </cell>
        </row>
        <row r="61">
          <cell r="A61">
            <v>42705</v>
          </cell>
          <cell r="B61">
            <v>101.52</v>
          </cell>
          <cell r="C61">
            <v>103.65</v>
          </cell>
          <cell r="D61">
            <v>99.43</v>
          </cell>
          <cell r="E61">
            <v>102.21</v>
          </cell>
        </row>
        <row r="62">
          <cell r="A62">
            <v>42736</v>
          </cell>
          <cell r="B62">
            <v>102.13</v>
          </cell>
          <cell r="C62">
            <v>103.82</v>
          </cell>
          <cell r="D62">
            <v>99.43</v>
          </cell>
          <cell r="E62">
            <v>99.55</v>
          </cell>
        </row>
        <row r="63">
          <cell r="A63">
            <v>42767</v>
          </cell>
          <cell r="B63">
            <v>99.56</v>
          </cell>
          <cell r="C63">
            <v>101.76</v>
          </cell>
          <cell r="D63">
            <v>99.23</v>
          </cell>
          <cell r="E63">
            <v>101.36</v>
          </cell>
        </row>
        <row r="64">
          <cell r="A64">
            <v>42795</v>
          </cell>
          <cell r="B64">
            <v>101.43</v>
          </cell>
          <cell r="C64">
            <v>102.26</v>
          </cell>
          <cell r="D64">
            <v>98.86</v>
          </cell>
          <cell r="E64">
            <v>100.56</v>
          </cell>
        </row>
        <row r="65">
          <cell r="A65">
            <v>42826</v>
          </cell>
          <cell r="B65">
            <v>100.51</v>
          </cell>
          <cell r="C65">
            <v>101.34</v>
          </cell>
          <cell r="D65">
            <v>98.7</v>
          </cell>
          <cell r="E65">
            <v>99.04</v>
          </cell>
        </row>
        <row r="66">
          <cell r="A66">
            <v>42856</v>
          </cell>
          <cell r="B66">
            <v>98.94</v>
          </cell>
          <cell r="C66">
            <v>99.89</v>
          </cell>
          <cell r="D66">
            <v>96.8</v>
          </cell>
          <cell r="E66">
            <v>96.98</v>
          </cell>
        </row>
        <row r="67">
          <cell r="A67">
            <v>42887</v>
          </cell>
          <cell r="B67">
            <v>96.99</v>
          </cell>
          <cell r="C67">
            <v>97.87</v>
          </cell>
          <cell r="D67">
            <v>95.47</v>
          </cell>
          <cell r="E67">
            <v>95.63</v>
          </cell>
        </row>
        <row r="68">
          <cell r="A68">
            <v>42917</v>
          </cell>
          <cell r="B68">
            <v>95.64</v>
          </cell>
          <cell r="C68">
            <v>96.51</v>
          </cell>
          <cell r="D68">
            <v>92.78</v>
          </cell>
          <cell r="E68">
            <v>92.86</v>
          </cell>
        </row>
        <row r="69">
          <cell r="A69">
            <v>42948</v>
          </cell>
          <cell r="B69">
            <v>92.89</v>
          </cell>
          <cell r="C69">
            <v>94.15</v>
          </cell>
          <cell r="D69">
            <v>91.62</v>
          </cell>
          <cell r="E69">
            <v>92.67</v>
          </cell>
        </row>
        <row r="70">
          <cell r="A70">
            <v>42979</v>
          </cell>
          <cell r="B70">
            <v>93.47</v>
          </cell>
          <cell r="C70">
            <v>93.67</v>
          </cell>
          <cell r="D70">
            <v>92.95</v>
          </cell>
          <cell r="E70">
            <v>93.08</v>
          </cell>
        </row>
        <row r="71">
          <cell r="A71">
            <v>43009</v>
          </cell>
          <cell r="B71">
            <v>93.29</v>
          </cell>
          <cell r="C71">
            <v>95.15</v>
          </cell>
          <cell r="D71">
            <v>92.75</v>
          </cell>
          <cell r="E71">
            <v>94.55</v>
          </cell>
        </row>
        <row r="72">
          <cell r="A72">
            <v>43040</v>
          </cell>
          <cell r="B72">
            <v>94.55</v>
          </cell>
          <cell r="C72">
            <v>95.15</v>
          </cell>
          <cell r="D72">
            <v>92.5</v>
          </cell>
          <cell r="E72">
            <v>93.05</v>
          </cell>
        </row>
        <row r="73">
          <cell r="A73">
            <v>43070</v>
          </cell>
          <cell r="B73">
            <v>93.03</v>
          </cell>
          <cell r="C73">
            <v>94.22</v>
          </cell>
          <cell r="D73">
            <v>92.08</v>
          </cell>
          <cell r="E73">
            <v>92.12</v>
          </cell>
        </row>
        <row r="74">
          <cell r="A74">
            <v>43101</v>
          </cell>
          <cell r="B74">
            <v>92.67</v>
          </cell>
          <cell r="C74">
            <v>92.67</v>
          </cell>
          <cell r="D74">
            <v>88.44</v>
          </cell>
          <cell r="E74">
            <v>89.13</v>
          </cell>
        </row>
        <row r="75">
          <cell r="A75">
            <v>43132</v>
          </cell>
          <cell r="B75">
            <v>89.04</v>
          </cell>
          <cell r="C75">
            <v>90.7</v>
          </cell>
          <cell r="D75">
            <v>88.25</v>
          </cell>
          <cell r="E75">
            <v>90.61</v>
          </cell>
        </row>
        <row r="76">
          <cell r="A76">
            <v>43160</v>
          </cell>
          <cell r="B76">
            <v>90.67</v>
          </cell>
          <cell r="C76">
            <v>90.93</v>
          </cell>
          <cell r="D76">
            <v>88.94</v>
          </cell>
          <cell r="E76">
            <v>90.15</v>
          </cell>
        </row>
        <row r="77">
          <cell r="A77">
            <v>43191</v>
          </cell>
          <cell r="B77">
            <v>89.97</v>
          </cell>
          <cell r="C77">
            <v>91.99</v>
          </cell>
          <cell r="D77">
            <v>89.23</v>
          </cell>
          <cell r="E77">
            <v>91.84</v>
          </cell>
        </row>
        <row r="78">
          <cell r="A78">
            <v>43221</v>
          </cell>
          <cell r="B78">
            <v>91.81</v>
          </cell>
          <cell r="C78">
            <v>95.03</v>
          </cell>
          <cell r="D78">
            <v>91.8</v>
          </cell>
          <cell r="E78">
            <v>93.99</v>
          </cell>
        </row>
        <row r="79">
          <cell r="A79">
            <v>43252</v>
          </cell>
          <cell r="B79">
            <v>94.07</v>
          </cell>
          <cell r="C79">
            <v>95.53</v>
          </cell>
          <cell r="D79">
            <v>93.19</v>
          </cell>
          <cell r="E79">
            <v>94.64</v>
          </cell>
        </row>
        <row r="80">
          <cell r="A80">
            <v>43282</v>
          </cell>
          <cell r="B80">
            <v>94.63</v>
          </cell>
          <cell r="C80">
            <v>95.65</v>
          </cell>
          <cell r="D80">
            <v>93.71</v>
          </cell>
          <cell r="E80">
            <v>94.49</v>
          </cell>
        </row>
        <row r="81">
          <cell r="A81">
            <v>43313</v>
          </cell>
          <cell r="B81">
            <v>94.56</v>
          </cell>
          <cell r="C81">
            <v>96.98</v>
          </cell>
          <cell r="D81">
            <v>94.43</v>
          </cell>
          <cell r="E81">
            <v>95.14</v>
          </cell>
        </row>
        <row r="82">
          <cell r="A82">
            <v>43344</v>
          </cell>
          <cell r="B82">
            <v>94.7</v>
          </cell>
          <cell r="C82">
            <v>95.74</v>
          </cell>
          <cell r="D82">
            <v>93.81</v>
          </cell>
          <cell r="E82">
            <v>95.13</v>
          </cell>
        </row>
        <row r="83">
          <cell r="A83">
            <v>43374</v>
          </cell>
          <cell r="B83">
            <v>96.99</v>
          </cell>
          <cell r="C83">
            <v>97.2</v>
          </cell>
          <cell r="D83">
            <v>96.88</v>
          </cell>
          <cell r="E83">
            <v>97.13</v>
          </cell>
        </row>
        <row r="84">
          <cell r="A84">
            <v>43405</v>
          </cell>
          <cell r="B84">
            <v>97.08</v>
          </cell>
          <cell r="C84">
            <v>97.69</v>
          </cell>
          <cell r="D84">
            <v>95.68</v>
          </cell>
          <cell r="E84">
            <v>97.27</v>
          </cell>
        </row>
        <row r="85">
          <cell r="A85">
            <v>43435</v>
          </cell>
          <cell r="B85">
            <v>97.13</v>
          </cell>
          <cell r="C85">
            <v>97.71</v>
          </cell>
          <cell r="D85">
            <v>96</v>
          </cell>
          <cell r="E85">
            <v>96.17</v>
          </cell>
        </row>
        <row r="86">
          <cell r="A86">
            <v>43466</v>
          </cell>
          <cell r="B86">
            <v>96.4</v>
          </cell>
          <cell r="C86">
            <v>96.96</v>
          </cell>
          <cell r="D86">
            <v>95.03</v>
          </cell>
          <cell r="E86">
            <v>95.58</v>
          </cell>
        </row>
        <row r="87">
          <cell r="A87">
            <v>43497</v>
          </cell>
          <cell r="B87">
            <v>95.55</v>
          </cell>
          <cell r="C87">
            <v>97.37</v>
          </cell>
          <cell r="D87">
            <v>95.4</v>
          </cell>
          <cell r="E87">
            <v>96.16</v>
          </cell>
        </row>
        <row r="88">
          <cell r="A88">
            <v>43525</v>
          </cell>
          <cell r="B88">
            <v>96.22</v>
          </cell>
          <cell r="C88">
            <v>97.71</v>
          </cell>
          <cell r="D88">
            <v>95.74</v>
          </cell>
          <cell r="E88">
            <v>97.28</v>
          </cell>
        </row>
        <row r="89">
          <cell r="A89">
            <v>43556</v>
          </cell>
          <cell r="B89">
            <v>97.18</v>
          </cell>
          <cell r="C89">
            <v>98.33</v>
          </cell>
          <cell r="D89">
            <v>96.75</v>
          </cell>
          <cell r="E89">
            <v>97.48</v>
          </cell>
        </row>
        <row r="90">
          <cell r="A90">
            <v>43586</v>
          </cell>
          <cell r="B90">
            <v>97.53</v>
          </cell>
          <cell r="C90">
            <v>98.37</v>
          </cell>
          <cell r="D90">
            <v>97.03</v>
          </cell>
          <cell r="E90">
            <v>97.75</v>
          </cell>
        </row>
        <row r="91">
          <cell r="A91">
            <v>43617</v>
          </cell>
          <cell r="B91">
            <v>97.64</v>
          </cell>
          <cell r="C91">
            <v>97.8</v>
          </cell>
          <cell r="D91">
            <v>95.84</v>
          </cell>
          <cell r="E91">
            <v>96.13</v>
          </cell>
        </row>
        <row r="92">
          <cell r="A92">
            <v>43647</v>
          </cell>
          <cell r="B92">
            <v>96.25</v>
          </cell>
          <cell r="C92">
            <v>98.68</v>
          </cell>
          <cell r="D92">
            <v>96.25</v>
          </cell>
          <cell r="E92">
            <v>98.52</v>
          </cell>
        </row>
        <row r="93">
          <cell r="A93">
            <v>43678</v>
          </cell>
          <cell r="B93">
            <v>98.59</v>
          </cell>
          <cell r="C93">
            <v>99.02</v>
          </cell>
          <cell r="D93">
            <v>97.03</v>
          </cell>
          <cell r="E93">
            <v>98.92</v>
          </cell>
        </row>
        <row r="94">
          <cell r="A94">
            <v>43709</v>
          </cell>
          <cell r="B94">
            <v>98.83</v>
          </cell>
          <cell r="C94">
            <v>99.46</v>
          </cell>
          <cell r="D94">
            <v>97.86</v>
          </cell>
          <cell r="E94">
            <v>99.38</v>
          </cell>
        </row>
        <row r="95">
          <cell r="A95">
            <v>43739</v>
          </cell>
          <cell r="B95">
            <v>97.67</v>
          </cell>
          <cell r="C95">
            <v>98</v>
          </cell>
          <cell r="D95">
            <v>97.22</v>
          </cell>
          <cell r="E95">
            <v>97.35</v>
          </cell>
        </row>
        <row r="96">
          <cell r="A96">
            <v>43770</v>
          </cell>
          <cell r="B96">
            <v>97.3</v>
          </cell>
          <cell r="C96">
            <v>98.54</v>
          </cell>
          <cell r="D96">
            <v>97.11</v>
          </cell>
          <cell r="E96">
            <v>98.27</v>
          </cell>
        </row>
        <row r="97">
          <cell r="A97">
            <v>43800</v>
          </cell>
          <cell r="B97">
            <v>98.27</v>
          </cell>
          <cell r="C97">
            <v>98.38</v>
          </cell>
          <cell r="D97">
            <v>96.36</v>
          </cell>
          <cell r="E97">
            <v>96.39</v>
          </cell>
        </row>
        <row r="98">
          <cell r="A98">
            <v>43831</v>
          </cell>
          <cell r="B98">
            <v>96.5</v>
          </cell>
          <cell r="C98">
            <v>98.19</v>
          </cell>
          <cell r="D98">
            <v>96.42</v>
          </cell>
          <cell r="E98">
            <v>97.39</v>
          </cell>
        </row>
        <row r="99">
          <cell r="A99">
            <v>43862</v>
          </cell>
          <cell r="B99">
            <v>97.37</v>
          </cell>
          <cell r="C99">
            <v>99.91</v>
          </cell>
          <cell r="D99">
            <v>97.41</v>
          </cell>
          <cell r="E99">
            <v>98.13</v>
          </cell>
        </row>
        <row r="100">
          <cell r="A100">
            <v>43891</v>
          </cell>
          <cell r="B100">
            <v>98.12</v>
          </cell>
          <cell r="C100">
            <v>102.99</v>
          </cell>
          <cell r="D100">
            <v>94.65</v>
          </cell>
          <cell r="E100">
            <v>99.05</v>
          </cell>
        </row>
        <row r="101">
          <cell r="A101">
            <v>43922</v>
          </cell>
          <cell r="B101">
            <v>99.01</v>
          </cell>
          <cell r="C101">
            <v>100.93</v>
          </cell>
          <cell r="D101">
            <v>98.81</v>
          </cell>
          <cell r="E101">
            <v>99.02</v>
          </cell>
        </row>
        <row r="102">
          <cell r="A102">
            <v>43952</v>
          </cell>
          <cell r="B102">
            <v>99.13</v>
          </cell>
          <cell r="C102">
            <v>100.56</v>
          </cell>
          <cell r="D102">
            <v>97.95</v>
          </cell>
          <cell r="E102">
            <v>98.34</v>
          </cell>
        </row>
        <row r="103">
          <cell r="A103">
            <v>43983</v>
          </cell>
          <cell r="B103">
            <v>98.3</v>
          </cell>
          <cell r="C103">
            <v>98.32</v>
          </cell>
          <cell r="D103">
            <v>95.72</v>
          </cell>
          <cell r="E103">
            <v>97.39</v>
          </cell>
        </row>
        <row r="104">
          <cell r="A104">
            <v>44013</v>
          </cell>
          <cell r="B104">
            <v>97.39</v>
          </cell>
          <cell r="C104">
            <v>97.62</v>
          </cell>
          <cell r="D104">
            <v>92.55</v>
          </cell>
          <cell r="E104">
            <v>93.35</v>
          </cell>
        </row>
        <row r="105">
          <cell r="A105">
            <v>44044</v>
          </cell>
          <cell r="B105">
            <v>93.46</v>
          </cell>
          <cell r="C105">
            <v>93.99</v>
          </cell>
          <cell r="D105">
            <v>91.99</v>
          </cell>
          <cell r="E105">
            <v>92.14</v>
          </cell>
        </row>
        <row r="106">
          <cell r="A106">
            <v>44075</v>
          </cell>
          <cell r="B106">
            <v>92.18</v>
          </cell>
          <cell r="C106">
            <v>94.74</v>
          </cell>
          <cell r="D106">
            <v>91.75</v>
          </cell>
          <cell r="E106">
            <v>93.89</v>
          </cell>
        </row>
        <row r="107">
          <cell r="A107">
            <v>44105</v>
          </cell>
          <cell r="B107">
            <v>93.46</v>
          </cell>
          <cell r="C107">
            <v>94.1</v>
          </cell>
          <cell r="D107">
            <v>93.34</v>
          </cell>
          <cell r="E107">
            <v>94.04</v>
          </cell>
        </row>
        <row r="108">
          <cell r="A108">
            <v>44136</v>
          </cell>
          <cell r="B108">
            <v>93.89</v>
          </cell>
          <cell r="C108">
            <v>94.3</v>
          </cell>
          <cell r="D108">
            <v>91.51</v>
          </cell>
          <cell r="E108">
            <v>91.87</v>
          </cell>
        </row>
        <row r="109">
          <cell r="A109">
            <v>44166</v>
          </cell>
          <cell r="B109">
            <v>91.95</v>
          </cell>
          <cell r="C109">
            <v>91.95</v>
          </cell>
          <cell r="D109">
            <v>89.56</v>
          </cell>
          <cell r="E109">
            <v>89.93</v>
          </cell>
        </row>
        <row r="110">
          <cell r="A110">
            <v>44197</v>
          </cell>
          <cell r="B110">
            <v>89.93</v>
          </cell>
          <cell r="C110">
            <v>90.95</v>
          </cell>
          <cell r="D110">
            <v>89.21</v>
          </cell>
          <cell r="E110">
            <v>90.58</v>
          </cell>
        </row>
        <row r="111">
          <cell r="A111">
            <v>44228</v>
          </cell>
          <cell r="B111">
            <v>90.53</v>
          </cell>
          <cell r="C111">
            <v>91.58</v>
          </cell>
          <cell r="D111">
            <v>89.68</v>
          </cell>
          <cell r="E111">
            <v>90.88</v>
          </cell>
        </row>
        <row r="112">
          <cell r="A112">
            <v>44256</v>
          </cell>
          <cell r="B112">
            <v>90.93</v>
          </cell>
          <cell r="C112">
            <v>93.44</v>
          </cell>
          <cell r="D112">
            <v>90.63</v>
          </cell>
          <cell r="E112">
            <v>93.23</v>
          </cell>
        </row>
        <row r="113">
          <cell r="A113">
            <v>44287</v>
          </cell>
          <cell r="B113">
            <v>93.22</v>
          </cell>
          <cell r="C113">
            <v>93.34</v>
          </cell>
          <cell r="D113">
            <v>90.42</v>
          </cell>
          <cell r="E113">
            <v>91.28</v>
          </cell>
        </row>
        <row r="114">
          <cell r="A114">
            <v>44317</v>
          </cell>
          <cell r="B114">
            <v>91.3</v>
          </cell>
          <cell r="C114">
            <v>91.44</v>
          </cell>
          <cell r="D114">
            <v>89.54</v>
          </cell>
          <cell r="E114">
            <v>90.03</v>
          </cell>
        </row>
        <row r="115">
          <cell r="A115">
            <v>44348</v>
          </cell>
          <cell r="B115">
            <v>89.81</v>
          </cell>
          <cell r="C115">
            <v>92.45</v>
          </cell>
          <cell r="D115">
            <v>89.66</v>
          </cell>
          <cell r="E115">
            <v>92.44</v>
          </cell>
        </row>
        <row r="116">
          <cell r="A116">
            <v>44378</v>
          </cell>
          <cell r="B116">
            <v>92.35</v>
          </cell>
          <cell r="C116">
            <v>93.19</v>
          </cell>
          <cell r="D116">
            <v>91.78</v>
          </cell>
          <cell r="E116">
            <v>92.17</v>
          </cell>
        </row>
        <row r="117">
          <cell r="A117">
            <v>44409</v>
          </cell>
          <cell r="B117">
            <v>92.09</v>
          </cell>
          <cell r="C117">
            <v>93.73</v>
          </cell>
          <cell r="D117">
            <v>91.82</v>
          </cell>
          <cell r="E117">
            <v>92.63</v>
          </cell>
        </row>
        <row r="118">
          <cell r="A118">
            <v>44440</v>
          </cell>
          <cell r="B118">
            <v>92.66</v>
          </cell>
          <cell r="C118">
            <v>94.5</v>
          </cell>
          <cell r="D118">
            <v>91.95</v>
          </cell>
          <cell r="E118">
            <v>94.23</v>
          </cell>
        </row>
        <row r="119">
          <cell r="A119">
            <v>44470</v>
          </cell>
          <cell r="B119">
            <v>94.31</v>
          </cell>
          <cell r="C119">
            <v>94.56</v>
          </cell>
          <cell r="D119">
            <v>93.28</v>
          </cell>
          <cell r="E119">
            <v>94.12</v>
          </cell>
        </row>
        <row r="120">
          <cell r="A120">
            <v>44501</v>
          </cell>
          <cell r="B120">
            <v>94.14</v>
          </cell>
          <cell r="C120">
            <v>96.94</v>
          </cell>
          <cell r="D120">
            <v>93.82</v>
          </cell>
          <cell r="E120">
            <v>95.99</v>
          </cell>
        </row>
        <row r="121">
          <cell r="A121">
            <v>44531</v>
          </cell>
          <cell r="B121">
            <v>95.94</v>
          </cell>
          <cell r="C121">
            <v>96.91</v>
          </cell>
          <cell r="D121">
            <v>95.57</v>
          </cell>
          <cell r="E121">
            <v>95.97</v>
          </cell>
        </row>
        <row r="122">
          <cell r="A122">
            <v>44562</v>
          </cell>
          <cell r="B122">
            <v>95.65</v>
          </cell>
          <cell r="C122">
            <v>97.44</v>
          </cell>
          <cell r="D122">
            <v>94.63</v>
          </cell>
          <cell r="E122">
            <v>96.54</v>
          </cell>
        </row>
        <row r="123">
          <cell r="A123">
            <v>44593</v>
          </cell>
          <cell r="B123">
            <v>96.7</v>
          </cell>
          <cell r="C123">
            <v>97.74</v>
          </cell>
          <cell r="D123">
            <v>95.14</v>
          </cell>
          <cell r="E123">
            <v>96.71</v>
          </cell>
        </row>
        <row r="124">
          <cell r="A124">
            <v>44621</v>
          </cell>
          <cell r="B124">
            <v>96.77</v>
          </cell>
          <cell r="C124">
            <v>99.42</v>
          </cell>
          <cell r="D124">
            <v>96.63</v>
          </cell>
          <cell r="E124">
            <v>98.31</v>
          </cell>
        </row>
        <row r="125">
          <cell r="A125">
            <v>44652</v>
          </cell>
          <cell r="B125">
            <v>98.34</v>
          </cell>
          <cell r="C125">
            <v>103.93</v>
          </cell>
          <cell r="D125">
            <v>98.31</v>
          </cell>
          <cell r="E125">
            <v>102.96</v>
          </cell>
        </row>
        <row r="126">
          <cell r="A126">
            <v>44682</v>
          </cell>
          <cell r="B126">
            <v>103.18</v>
          </cell>
          <cell r="C126">
            <v>105.01</v>
          </cell>
          <cell r="D126">
            <v>101.3</v>
          </cell>
          <cell r="E126">
            <v>101.75</v>
          </cell>
        </row>
        <row r="127">
          <cell r="A127">
            <v>44713</v>
          </cell>
          <cell r="B127">
            <v>101.76</v>
          </cell>
          <cell r="C127">
            <v>105.79</v>
          </cell>
          <cell r="D127">
            <v>101.64</v>
          </cell>
          <cell r="E127">
            <v>104.69</v>
          </cell>
        </row>
        <row r="128">
          <cell r="A128">
            <v>44743</v>
          </cell>
          <cell r="B128">
            <v>104.78</v>
          </cell>
          <cell r="C128">
            <v>109.29</v>
          </cell>
          <cell r="D128">
            <v>104.74</v>
          </cell>
          <cell r="E128">
            <v>105.9</v>
          </cell>
        </row>
        <row r="129">
          <cell r="A129">
            <v>44774</v>
          </cell>
          <cell r="B129">
            <v>105.88</v>
          </cell>
          <cell r="C129">
            <v>109.48</v>
          </cell>
          <cell r="D129">
            <v>104.64</v>
          </cell>
          <cell r="E129">
            <v>108.7</v>
          </cell>
        </row>
        <row r="130">
          <cell r="A130">
            <v>44805</v>
          </cell>
          <cell r="B130">
            <v>108.84</v>
          </cell>
          <cell r="C130">
            <v>114.78</v>
          </cell>
          <cell r="D130">
            <v>107.68</v>
          </cell>
          <cell r="E130">
            <v>112.12</v>
          </cell>
        </row>
        <row r="131">
          <cell r="A131">
            <v>44835</v>
          </cell>
          <cell r="B131">
            <v>112.17</v>
          </cell>
          <cell r="C131">
            <v>113.94</v>
          </cell>
          <cell r="D131">
            <v>109.54</v>
          </cell>
          <cell r="E131">
            <v>111.53</v>
          </cell>
        </row>
        <row r="132">
          <cell r="A132">
            <v>44866</v>
          </cell>
          <cell r="B132">
            <v>106.72</v>
          </cell>
          <cell r="C132">
            <v>107.2</v>
          </cell>
          <cell r="D132">
            <v>105.78</v>
          </cell>
          <cell r="E132">
            <v>105.95</v>
          </cell>
        </row>
        <row r="133">
          <cell r="A133">
            <v>44896</v>
          </cell>
          <cell r="B133">
            <v>105.7</v>
          </cell>
          <cell r="C133">
            <v>105.9</v>
          </cell>
          <cell r="D133">
            <v>103.39</v>
          </cell>
          <cell r="E133">
            <v>103.52</v>
          </cell>
        </row>
        <row r="134">
          <cell r="A134">
            <v>44927</v>
          </cell>
          <cell r="B134">
            <v>103.49</v>
          </cell>
          <cell r="C134">
            <v>105.63</v>
          </cell>
          <cell r="D134">
            <v>101.5</v>
          </cell>
          <cell r="E134">
            <v>102.1</v>
          </cell>
        </row>
        <row r="135">
          <cell r="A135">
            <v>44958</v>
          </cell>
          <cell r="B135">
            <v>102.1</v>
          </cell>
          <cell r="C135">
            <v>105.36</v>
          </cell>
          <cell r="D135">
            <v>100.82</v>
          </cell>
          <cell r="E135">
            <v>104.87</v>
          </cell>
        </row>
        <row r="136">
          <cell r="A136">
            <v>44986</v>
          </cell>
          <cell r="B136">
            <v>105.04</v>
          </cell>
          <cell r="C136">
            <v>105.88</v>
          </cell>
          <cell r="D136">
            <v>101.92</v>
          </cell>
          <cell r="E136">
            <v>102.51</v>
          </cell>
        </row>
        <row r="137">
          <cell r="A137">
            <v>45017</v>
          </cell>
          <cell r="B137">
            <v>102.63</v>
          </cell>
          <cell r="C137">
            <v>103.06</v>
          </cell>
          <cell r="D137">
            <v>100.79</v>
          </cell>
          <cell r="E137">
            <v>101.66</v>
          </cell>
        </row>
        <row r="138">
          <cell r="A138">
            <v>45047</v>
          </cell>
          <cell r="B138">
            <v>101.67</v>
          </cell>
          <cell r="C138">
            <v>104.7</v>
          </cell>
          <cell r="D138">
            <v>101.03</v>
          </cell>
          <cell r="E138">
            <v>104.33</v>
          </cell>
        </row>
        <row r="139">
          <cell r="A139">
            <v>45078</v>
          </cell>
          <cell r="B139">
            <v>104.15</v>
          </cell>
          <cell r="C139">
            <v>104.5</v>
          </cell>
          <cell r="D139">
            <v>101.92</v>
          </cell>
          <cell r="E139">
            <v>102.91</v>
          </cell>
        </row>
        <row r="140">
          <cell r="A140">
            <v>45108</v>
          </cell>
          <cell r="B140">
            <v>102.93</v>
          </cell>
          <cell r="C140">
            <v>103.57</v>
          </cell>
          <cell r="D140">
            <v>99.58</v>
          </cell>
          <cell r="E140">
            <v>101.86</v>
          </cell>
        </row>
        <row r="141">
          <cell r="A141">
            <v>45139</v>
          </cell>
          <cell r="B141">
            <v>101.87</v>
          </cell>
          <cell r="C141">
            <v>104.45</v>
          </cell>
          <cell r="D141">
            <v>101.74</v>
          </cell>
          <cell r="E141">
            <v>103.62</v>
          </cell>
        </row>
        <row r="142">
          <cell r="A142">
            <v>45170</v>
          </cell>
          <cell r="B142">
            <v>103.62</v>
          </cell>
          <cell r="C142">
            <v>106.84</v>
          </cell>
          <cell r="D142">
            <v>103.27</v>
          </cell>
          <cell r="E142">
            <v>106.22</v>
          </cell>
        </row>
        <row r="143">
          <cell r="A143">
            <v>45200</v>
          </cell>
          <cell r="B143">
            <v>106.17</v>
          </cell>
          <cell r="C143">
            <v>107.35</v>
          </cell>
          <cell r="D143">
            <v>105.36</v>
          </cell>
          <cell r="E143">
            <v>106.66</v>
          </cell>
        </row>
        <row r="144">
          <cell r="A144">
            <v>45231</v>
          </cell>
          <cell r="B144">
            <v>106.67</v>
          </cell>
          <cell r="C144">
            <v>107.11</v>
          </cell>
          <cell r="D144">
            <v>102.47</v>
          </cell>
          <cell r="E144">
            <v>103.5</v>
          </cell>
        </row>
        <row r="145">
          <cell r="A145">
            <v>45261</v>
          </cell>
          <cell r="B145">
            <v>101.38</v>
          </cell>
          <cell r="C145">
            <v>101.42</v>
          </cell>
          <cell r="D145">
            <v>101.07</v>
          </cell>
          <cell r="E145">
            <v>101.38</v>
          </cell>
        </row>
        <row r="146">
          <cell r="A146">
            <v>45292</v>
          </cell>
          <cell r="B146">
            <v>101.42</v>
          </cell>
          <cell r="C146">
            <v>103.82</v>
          </cell>
          <cell r="D146">
            <v>101.34</v>
          </cell>
          <cell r="E146">
            <v>103.27</v>
          </cell>
        </row>
        <row r="147">
          <cell r="A147">
            <v>45323</v>
          </cell>
          <cell r="B147">
            <v>103.51</v>
          </cell>
          <cell r="C147">
            <v>104.98</v>
          </cell>
          <cell r="D147">
            <v>102.9</v>
          </cell>
          <cell r="E147">
            <v>104.16</v>
          </cell>
        </row>
        <row r="148">
          <cell r="A148">
            <v>45352</v>
          </cell>
          <cell r="B148">
            <v>104.13</v>
          </cell>
          <cell r="C148">
            <v>104.73</v>
          </cell>
          <cell r="D148">
            <v>102.36</v>
          </cell>
          <cell r="E148">
            <v>104.55</v>
          </cell>
        </row>
        <row r="149">
          <cell r="A149">
            <v>45383</v>
          </cell>
          <cell r="B149">
            <v>104.49</v>
          </cell>
          <cell r="C149">
            <v>106.52</v>
          </cell>
          <cell r="D149">
            <v>103.88</v>
          </cell>
          <cell r="E149">
            <v>106.22</v>
          </cell>
        </row>
        <row r="150">
          <cell r="A150">
            <v>45413</v>
          </cell>
          <cell r="B150">
            <v>106.32</v>
          </cell>
          <cell r="C150">
            <v>106.49</v>
          </cell>
          <cell r="D150">
            <v>104.08</v>
          </cell>
          <cell r="E150">
            <v>104.67</v>
          </cell>
        </row>
        <row r="151">
          <cell r="A151">
            <v>45444</v>
          </cell>
          <cell r="B151">
            <v>104.63</v>
          </cell>
          <cell r="C151">
            <v>106.13</v>
          </cell>
          <cell r="D151">
            <v>103.99</v>
          </cell>
          <cell r="E151">
            <v>105.87</v>
          </cell>
        </row>
        <row r="152">
          <cell r="A152">
            <v>45474</v>
          </cell>
          <cell r="B152">
            <v>105.7</v>
          </cell>
          <cell r="C152">
            <v>106.05</v>
          </cell>
          <cell r="D152">
            <v>103.65</v>
          </cell>
          <cell r="E152">
            <v>104.1</v>
          </cell>
        </row>
        <row r="153">
          <cell r="A153">
            <v>45505</v>
          </cell>
          <cell r="B153">
            <v>104.07</v>
          </cell>
          <cell r="C153">
            <v>104.45</v>
          </cell>
          <cell r="D153">
            <v>100.51</v>
          </cell>
          <cell r="E153">
            <v>101.7</v>
          </cell>
        </row>
        <row r="154">
          <cell r="A154">
            <v>45536</v>
          </cell>
          <cell r="B154">
            <v>101.38</v>
          </cell>
          <cell r="C154">
            <v>101.92</v>
          </cell>
          <cell r="D154">
            <v>100.16</v>
          </cell>
          <cell r="E154">
            <v>100.78</v>
          </cell>
        </row>
        <row r="155">
          <cell r="A155">
            <v>45566</v>
          </cell>
          <cell r="B155">
            <v>100.74</v>
          </cell>
          <cell r="C155">
            <v>104.64</v>
          </cell>
          <cell r="D155">
            <v>100.7</v>
          </cell>
          <cell r="E155">
            <v>103.98</v>
          </cell>
        </row>
        <row r="156">
          <cell r="A156">
            <v>45597</v>
          </cell>
          <cell r="B156">
            <v>103.86</v>
          </cell>
          <cell r="C156">
            <v>108.07</v>
          </cell>
          <cell r="D156">
            <v>103.37</v>
          </cell>
          <cell r="E156">
            <v>105.74</v>
          </cell>
        </row>
        <row r="157">
          <cell r="A157">
            <v>45627</v>
          </cell>
          <cell r="B157">
            <v>105.83</v>
          </cell>
          <cell r="C157">
            <v>108.58</v>
          </cell>
          <cell r="D157">
            <v>105.42</v>
          </cell>
          <cell r="E157">
            <v>108.49</v>
          </cell>
        </row>
        <row r="158">
          <cell r="A158">
            <v>45658</v>
          </cell>
          <cell r="B158">
            <v>108.09</v>
          </cell>
          <cell r="C158">
            <v>110.18</v>
          </cell>
          <cell r="D158">
            <v>106.97</v>
          </cell>
          <cell r="E158">
            <v>108.37</v>
          </cell>
        </row>
        <row r="159">
          <cell r="A159">
            <v>45689</v>
          </cell>
          <cell r="B159">
            <v>109.3</v>
          </cell>
          <cell r="C159">
            <v>109.88</v>
          </cell>
          <cell r="D159">
            <v>106.13</v>
          </cell>
          <cell r="E159">
            <v>107.61</v>
          </cell>
        </row>
        <row r="160">
          <cell r="A160">
            <v>45717</v>
          </cell>
          <cell r="B160">
            <v>107.39</v>
          </cell>
          <cell r="C160">
            <v>107.41</v>
          </cell>
          <cell r="D160">
            <v>103.2</v>
          </cell>
          <cell r="E160">
            <v>104.21</v>
          </cell>
        </row>
        <row r="161">
          <cell r="A161">
            <v>45748</v>
          </cell>
          <cell r="B161">
            <v>104.18</v>
          </cell>
          <cell r="C161">
            <v>104.37</v>
          </cell>
          <cell r="D161">
            <v>97.92</v>
          </cell>
          <cell r="E161">
            <v>99.47</v>
          </cell>
        </row>
        <row r="162">
          <cell r="A162">
            <v>45778</v>
          </cell>
          <cell r="B162">
            <v>99.65</v>
          </cell>
          <cell r="C162">
            <v>101.98</v>
          </cell>
          <cell r="D162">
            <v>98.78</v>
          </cell>
          <cell r="E162">
            <v>99.33</v>
          </cell>
        </row>
        <row r="163">
          <cell r="A163">
            <v>45809</v>
          </cell>
          <cell r="B163">
            <v>99.41</v>
          </cell>
          <cell r="C163">
            <v>99.42</v>
          </cell>
          <cell r="D163">
            <v>96.77</v>
          </cell>
          <cell r="E163">
            <v>96.88</v>
          </cell>
        </row>
        <row r="164">
          <cell r="A164">
            <v>45839</v>
          </cell>
          <cell r="B164">
            <v>96.78</v>
          </cell>
          <cell r="C164">
            <v>100.1</v>
          </cell>
          <cell r="D164">
            <v>96.38</v>
          </cell>
          <cell r="E164">
            <v>99.97</v>
          </cell>
        </row>
        <row r="165">
          <cell r="A165">
            <v>45870</v>
          </cell>
          <cell r="B165">
            <v>100.01</v>
          </cell>
          <cell r="C165">
            <v>100.26</v>
          </cell>
          <cell r="D165">
            <v>97.56</v>
          </cell>
          <cell r="E165">
            <v>97.77</v>
          </cell>
        </row>
        <row r="166">
          <cell r="A166">
            <v>45901</v>
          </cell>
          <cell r="B166">
            <v>97.87</v>
          </cell>
          <cell r="C166">
            <v>98.64</v>
          </cell>
          <cell r="D166">
            <v>96.22</v>
          </cell>
          <cell r="E166">
            <v>97.78</v>
          </cell>
        </row>
        <row r="167">
          <cell r="A167">
            <v>45931</v>
          </cell>
          <cell r="B167">
            <v>97.82</v>
          </cell>
          <cell r="C167">
            <v>99.84</v>
          </cell>
          <cell r="D167">
            <v>97.46</v>
          </cell>
          <cell r="E167">
            <v>99.8</v>
          </cell>
        </row>
        <row r="168">
          <cell r="A168">
            <v>45962</v>
          </cell>
          <cell r="B168">
            <v>99.75</v>
          </cell>
          <cell r="C168">
            <v>100.4</v>
          </cell>
          <cell r="D168">
            <v>98.99</v>
          </cell>
          <cell r="E168">
            <v>99.46</v>
          </cell>
        </row>
        <row r="169">
          <cell r="A169">
            <v>45992</v>
          </cell>
          <cell r="B169">
            <v>99.48</v>
          </cell>
          <cell r="C169">
            <v>99.57</v>
          </cell>
          <cell r="D169">
            <v>97.75</v>
          </cell>
          <cell r="E169">
            <v>98.32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08585-F534-4AD1-83E4-55F67375614E}" name="Table2" displayName="Table2" ref="A1:F169" totalsRowShown="0" headerRowDxfId="6" tableBorderDxfId="5">
  <autoFilter ref="A1:F169" xr:uid="{3BD08585-F534-4AD1-83E4-55F67375614E}"/>
  <tableColumns count="6">
    <tableColumn id="1" xr3:uid="{220C4EF8-0EBC-4ACE-B554-285DE1CF991C}" name="Date" dataDxfId="4"/>
    <tableColumn id="2" xr3:uid="{219DEA8F-44A0-4998-BC15-F7E5D2E4F525}" name="Gold price" dataDxfId="3"/>
    <tableColumn id="3" xr3:uid="{CB99EB1F-65C4-4BB2-AE01-6D06FCA3E7B3}" name="Gold open price" dataDxfId="2"/>
    <tableColumn id="8" xr3:uid="{EF04DCA7-D892-4DFA-8152-C6C24DF6B39E}" name="USA dollar open price" dataDxfId="1">
      <calculatedColumnFormula>VLOOKUP(A2,'[1]dollar (3)'!$A$1:$E$169,2,FALSE)</calculatedColumnFormula>
    </tableColumn>
    <tableColumn id="13" xr3:uid="{9CC68BE9-579E-4EAB-BC48-CB632B415E5A}" name="CBOE Price " dataDxfId="0">
      <calculatedColumnFormula>VLOOKUP(A2,'[1]CBOE Gold Volatitity Historical'!$A$1:$F$169,2,FALSE)</calculatedColumnFormula>
    </tableColumn>
    <tableColumn id="14" xr3:uid="{612FB6F6-4C7D-439F-889D-629BFCD1F39C}" name="CBOE Open">
      <calculatedColumnFormula>VLOOKUP(A2,'[1]CBOE Gold Volatitity Historical'!$A$1:$F$169,3,FALSE)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C728-EDEF-45FC-98C7-DC0DCF4D2771}">
  <dimension ref="A1:F169"/>
  <sheetViews>
    <sheetView tabSelected="1" workbookViewId="0">
      <selection activeCell="H14" sqref="H14"/>
    </sheetView>
  </sheetViews>
  <sheetFormatPr defaultRowHeight="14.4"/>
  <cols>
    <col min="1" max="1" width="10.5546875" bestFit="1" customWidth="1"/>
    <col min="2" max="2" width="11.6640625" bestFit="1" customWidth="1"/>
    <col min="3" max="3" width="16.5546875" bestFit="1" customWidth="1"/>
    <col min="4" max="4" width="21.5546875" bestFit="1" customWidth="1"/>
    <col min="10" max="10" width="8.886718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>
      <c r="A2" s="5">
        <v>40909</v>
      </c>
      <c r="B2" s="6">
        <v>1740.4</v>
      </c>
      <c r="C2" s="6">
        <v>1571</v>
      </c>
      <c r="D2" s="7">
        <f>VLOOKUP(A2,'[1]dollar (3)'!$A$1:$E$169,2,FALSE)</f>
        <v>80.41</v>
      </c>
      <c r="E2" s="8">
        <f>VLOOKUP(A2,'[1]CBOE Gold Volatitity Historical'!$A$1:$F$169,2,FALSE)</f>
        <v>20.93</v>
      </c>
      <c r="F2">
        <f>VLOOKUP(A2,'[1]CBOE Gold Volatitity Historical'!$A$1:$F$169,3,FALSE)</f>
        <v>23.24</v>
      </c>
    </row>
    <row r="3" spans="1:6">
      <c r="A3" s="9">
        <v>40940</v>
      </c>
      <c r="B3" s="10">
        <v>1711.3</v>
      </c>
      <c r="C3" s="10">
        <v>1739.8</v>
      </c>
      <c r="D3" s="11">
        <f>VLOOKUP(A3,'[1]dollar (3)'!$A$1:$E$169,2,FALSE)</f>
        <v>79.3</v>
      </c>
      <c r="E3" s="8">
        <f>VLOOKUP(A3,'[1]CBOE Gold Volatitity Historical'!$A$1:$F$169,2,FALSE)</f>
        <v>22.9</v>
      </c>
      <c r="F3">
        <f>VLOOKUP(A3,'[1]CBOE Gold Volatitity Historical'!$A$1:$F$169,3,FALSE)</f>
        <v>21.19</v>
      </c>
    </row>
    <row r="4" spans="1:6">
      <c r="A4" s="5">
        <v>40969</v>
      </c>
      <c r="B4" s="6">
        <v>1671.9</v>
      </c>
      <c r="C4" s="6">
        <v>1695.6</v>
      </c>
      <c r="D4" s="7">
        <f>VLOOKUP(A4,'[1]dollar (3)'!$A$1:$E$169,2,FALSE)</f>
        <v>78.78</v>
      </c>
      <c r="E4" s="8">
        <f>VLOOKUP(A4,'[1]CBOE Gold Volatitity Historical'!$A$1:$F$169,2,FALSE)</f>
        <v>17.010000000000002</v>
      </c>
      <c r="F4">
        <f>VLOOKUP(A4,'[1]CBOE Gold Volatitity Historical'!$A$1:$F$169,3,FALSE)</f>
        <v>22.9</v>
      </c>
    </row>
    <row r="5" spans="1:6">
      <c r="A5" s="9">
        <v>41000</v>
      </c>
      <c r="B5" s="10">
        <v>1664.2</v>
      </c>
      <c r="C5" s="10">
        <v>1671.5</v>
      </c>
      <c r="D5" s="11">
        <f>VLOOKUP(A5,'[1]dollar (3)'!$A$1:$E$169,2,FALSE)</f>
        <v>78.77</v>
      </c>
      <c r="E5" s="8">
        <f>VLOOKUP(A5,'[1]CBOE Gold Volatitity Historical'!$A$1:$F$169,2,FALSE)</f>
        <v>16.93</v>
      </c>
      <c r="F5">
        <f>VLOOKUP(A5,'[1]CBOE Gold Volatitity Historical'!$A$1:$F$169,3,FALSE)</f>
        <v>17.010000000000002</v>
      </c>
    </row>
    <row r="6" spans="1:6">
      <c r="A6" s="5">
        <v>41030</v>
      </c>
      <c r="B6" s="6">
        <v>1564.2</v>
      </c>
      <c r="C6" s="6">
        <v>1666.1</v>
      </c>
      <c r="D6" s="7">
        <f>VLOOKUP(A6,'[1]dollar (3)'!$A$1:$E$169,2,FALSE)</f>
        <v>78.8</v>
      </c>
      <c r="E6" s="8">
        <f>VLOOKUP(A6,'[1]CBOE Gold Volatitity Historical'!$A$1:$F$169,2,FALSE)</f>
        <v>23.11</v>
      </c>
      <c r="F6">
        <f>VLOOKUP(A6,'[1]CBOE Gold Volatitity Historical'!$A$1:$F$169,3,FALSE)</f>
        <v>16.55</v>
      </c>
    </row>
    <row r="7" spans="1:6">
      <c r="A7" s="9">
        <v>41061</v>
      </c>
      <c r="B7" s="10">
        <v>1604.2</v>
      </c>
      <c r="C7" s="10">
        <v>1561.8</v>
      </c>
      <c r="D7" s="11">
        <f>VLOOKUP(A7,'[1]dollar (3)'!$A$1:$E$169,2,FALSE)</f>
        <v>83.1</v>
      </c>
      <c r="E7" s="8">
        <f>VLOOKUP(A7,'[1]CBOE Gold Volatitity Historical'!$A$1:$F$169,2,FALSE)</f>
        <v>19.53</v>
      </c>
      <c r="F7">
        <f>VLOOKUP(A7,'[1]CBOE Gold Volatitity Historical'!$A$1:$F$169,3,FALSE)</f>
        <v>23.11</v>
      </c>
    </row>
    <row r="8" spans="1:6">
      <c r="A8" s="5">
        <v>41091</v>
      </c>
      <c r="B8" s="6">
        <v>1614.6</v>
      </c>
      <c r="C8" s="6">
        <v>1599.6</v>
      </c>
      <c r="D8" s="7">
        <f>VLOOKUP(A8,'[1]dollar (3)'!$A$1:$E$169,2,FALSE)</f>
        <v>81.650000000000006</v>
      </c>
      <c r="E8" s="8">
        <f>VLOOKUP(A8,'[1]CBOE Gold Volatitity Historical'!$A$1:$F$169,2,FALSE)</f>
        <v>19.510000000000002</v>
      </c>
      <c r="F8">
        <f>VLOOKUP(A8,'[1]CBOE Gold Volatitity Historical'!$A$1:$F$169,3,FALSE)</f>
        <v>19.53</v>
      </c>
    </row>
    <row r="9" spans="1:6">
      <c r="A9" s="9">
        <v>41122</v>
      </c>
      <c r="B9" s="10">
        <v>1687.6</v>
      </c>
      <c r="C9" s="10">
        <v>1617.5</v>
      </c>
      <c r="D9" s="11">
        <f>VLOOKUP(A9,'[1]dollar (3)'!$A$1:$E$169,2,FALSE)</f>
        <v>82.7</v>
      </c>
      <c r="E9" s="8">
        <f>VLOOKUP(A9,'[1]CBOE Gold Volatitity Historical'!$A$1:$F$169,2,FALSE)</f>
        <v>17.89</v>
      </c>
      <c r="F9">
        <f>VLOOKUP(A9,'[1]CBOE Gold Volatitity Historical'!$A$1:$F$169,3,FALSE)</f>
        <v>19.510000000000002</v>
      </c>
    </row>
    <row r="10" spans="1:6">
      <c r="A10" s="5">
        <v>41153</v>
      </c>
      <c r="B10" s="6">
        <v>1773.9</v>
      </c>
      <c r="C10" s="6">
        <v>1693.4</v>
      </c>
      <c r="D10" s="7">
        <f>VLOOKUP(A10,'[1]dollar (3)'!$A$1:$E$169,2,FALSE)</f>
        <v>81.67</v>
      </c>
      <c r="E10" s="8">
        <f>VLOOKUP(A10,'[1]CBOE Gold Volatitity Historical'!$A$1:$F$169,2,FALSE)</f>
        <v>16.760000000000002</v>
      </c>
      <c r="F10">
        <f>VLOOKUP(A10,'[1]CBOE Gold Volatitity Historical'!$A$1:$F$169,3,FALSE)</f>
        <v>17.72</v>
      </c>
    </row>
    <row r="11" spans="1:6">
      <c r="A11" s="9">
        <v>41183</v>
      </c>
      <c r="B11" s="10">
        <v>1719.1</v>
      </c>
      <c r="C11" s="10">
        <v>1773.7</v>
      </c>
      <c r="D11" s="11">
        <f>VLOOKUP(A11,'[1]dollar (3)'!$A$1:$E$169,2,FALSE)</f>
        <v>80.12</v>
      </c>
      <c r="E11" s="8">
        <f>VLOOKUP(A11,'[1]CBOE Gold Volatitity Historical'!$A$1:$F$169,2,FALSE)</f>
        <v>14.99</v>
      </c>
      <c r="F11">
        <f>VLOOKUP(A11,'[1]CBOE Gold Volatitity Historical'!$A$1:$F$169,3,FALSE)</f>
        <v>17.28</v>
      </c>
    </row>
    <row r="12" spans="1:6">
      <c r="A12" s="5">
        <v>41214</v>
      </c>
      <c r="B12" s="6">
        <v>1712.7</v>
      </c>
      <c r="C12" s="6">
        <v>1720.4</v>
      </c>
      <c r="D12" s="7">
        <f>VLOOKUP(A12,'[1]dollar (3)'!$A$1:$E$169,2,FALSE)</f>
        <v>79.92</v>
      </c>
      <c r="E12" s="8">
        <f>VLOOKUP(A12,'[1]CBOE Gold Volatitity Historical'!$A$1:$F$169,2,FALSE)</f>
        <v>13.24</v>
      </c>
      <c r="F12">
        <f>VLOOKUP(A12,'[1]CBOE Gold Volatitity Historical'!$A$1:$F$169,3,FALSE)</f>
        <v>15.13</v>
      </c>
    </row>
    <row r="13" spans="1:6">
      <c r="A13" s="9">
        <v>41244</v>
      </c>
      <c r="B13" s="10">
        <v>1675.8</v>
      </c>
      <c r="C13" s="10">
        <v>1715.5</v>
      </c>
      <c r="D13" s="11">
        <f>VLOOKUP(A13,'[1]dollar (3)'!$A$1:$E$169,2,FALSE)</f>
        <v>80.180000000000007</v>
      </c>
      <c r="E13" s="8">
        <f>VLOOKUP(A13,'[1]CBOE Gold Volatitity Historical'!$A$1:$F$169,2,FALSE)</f>
        <v>14.38</v>
      </c>
      <c r="F13">
        <f>VLOOKUP(A13,'[1]CBOE Gold Volatitity Historical'!$A$1:$F$169,3,FALSE)</f>
        <v>13.18</v>
      </c>
    </row>
    <row r="14" spans="1:6">
      <c r="A14" s="5">
        <v>41275</v>
      </c>
      <c r="B14" s="6">
        <v>1662</v>
      </c>
      <c r="C14" s="6">
        <v>1676.4</v>
      </c>
      <c r="D14" s="7">
        <f>VLOOKUP(A14,'[1]dollar (3)'!$A$1:$E$169,2,FALSE)</f>
        <v>79.62</v>
      </c>
      <c r="E14" s="8">
        <f>VLOOKUP(A14,'[1]CBOE Gold Volatitity Historical'!$A$1:$F$169,2,FALSE)</f>
        <v>13.76</v>
      </c>
      <c r="F14">
        <f>VLOOKUP(A14,'[1]CBOE Gold Volatitity Historical'!$A$1:$F$169,3,FALSE)</f>
        <v>14.33</v>
      </c>
    </row>
    <row r="15" spans="1:6">
      <c r="A15" s="9">
        <v>41306</v>
      </c>
      <c r="B15" s="10">
        <v>1578.1</v>
      </c>
      <c r="C15" s="10">
        <v>1665.2</v>
      </c>
      <c r="D15" s="11">
        <f>VLOOKUP(A15,'[1]dollar (3)'!$A$1:$E$169,2,FALSE)</f>
        <v>79.099999999999994</v>
      </c>
      <c r="E15" s="8">
        <f>VLOOKUP(A15,'[1]CBOE Gold Volatitity Historical'!$A$1:$F$169,2,FALSE)</f>
        <v>15.79</v>
      </c>
      <c r="F15">
        <f>VLOOKUP(A15,'[1]CBOE Gold Volatitity Historical'!$A$1:$F$169,3,FALSE)</f>
        <v>13.55</v>
      </c>
    </row>
    <row r="16" spans="1:6">
      <c r="A16" s="5">
        <v>41334</v>
      </c>
      <c r="B16" s="6">
        <v>1595.7</v>
      </c>
      <c r="C16" s="6">
        <v>1578.5</v>
      </c>
      <c r="D16" s="7">
        <f>VLOOKUP(A16,'[1]dollar (3)'!$A$1:$E$169,2,FALSE)</f>
        <v>81.93</v>
      </c>
      <c r="E16" s="8">
        <f>VLOOKUP(A16,'[1]CBOE Gold Volatitity Historical'!$A$1:$F$169,2,FALSE)</f>
        <v>12.41</v>
      </c>
      <c r="F16">
        <f>VLOOKUP(A16,'[1]CBOE Gold Volatitity Historical'!$A$1:$F$169,3,FALSE)</f>
        <v>15.78</v>
      </c>
    </row>
    <row r="17" spans="1:6">
      <c r="A17" s="9">
        <v>41365</v>
      </c>
      <c r="B17" s="10">
        <v>1472.1</v>
      </c>
      <c r="C17" s="10">
        <v>1598.1</v>
      </c>
      <c r="D17" s="11">
        <f>VLOOKUP(A17,'[1]dollar (3)'!$A$1:$E$169,2,FALSE)</f>
        <v>83.05</v>
      </c>
      <c r="E17" s="8">
        <f>VLOOKUP(A17,'[1]CBOE Gold Volatitity Historical'!$A$1:$F$169,2,FALSE)</f>
        <v>22.09</v>
      </c>
      <c r="F17">
        <f>VLOOKUP(A17,'[1]CBOE Gold Volatitity Historical'!$A$1:$F$169,3,FALSE)</f>
        <v>12.41</v>
      </c>
    </row>
    <row r="18" spans="1:6">
      <c r="A18" s="5">
        <v>41395</v>
      </c>
      <c r="B18" s="6">
        <v>1393</v>
      </c>
      <c r="C18" s="6">
        <v>1475.6</v>
      </c>
      <c r="D18" s="7">
        <f>VLOOKUP(A18,'[1]dollar (3)'!$A$1:$E$169,2,FALSE)</f>
        <v>83.57</v>
      </c>
      <c r="E18" s="8">
        <f>VLOOKUP(A18,'[1]CBOE Gold Volatitity Historical'!$A$1:$F$169,2,FALSE)</f>
        <v>22.63</v>
      </c>
      <c r="F18">
        <f>VLOOKUP(A18,'[1]CBOE Gold Volatitity Historical'!$A$1:$F$169,3,FALSE)</f>
        <v>23.11</v>
      </c>
    </row>
    <row r="19" spans="1:6">
      <c r="A19" s="9">
        <v>41426</v>
      </c>
      <c r="B19" s="10">
        <v>1223.7</v>
      </c>
      <c r="C19" s="10">
        <v>1388.8</v>
      </c>
      <c r="D19" s="11">
        <f>VLOOKUP(A19,'[1]dollar (3)'!$A$1:$E$169,2,FALSE)</f>
        <v>83.27</v>
      </c>
      <c r="E19" s="8">
        <f>VLOOKUP(A19,'[1]CBOE Gold Volatitity Historical'!$A$1:$F$169,2,FALSE)</f>
        <v>31.84</v>
      </c>
      <c r="F19">
        <f>VLOOKUP(A19,'[1]CBOE Gold Volatitity Historical'!$A$1:$F$169,3,FALSE)</f>
        <v>22.63</v>
      </c>
    </row>
    <row r="20" spans="1:6">
      <c r="A20" s="5">
        <v>41456</v>
      </c>
      <c r="B20" s="6">
        <v>1313</v>
      </c>
      <c r="C20" s="6">
        <v>1232.9000000000001</v>
      </c>
      <c r="D20" s="7">
        <f>VLOOKUP(A20,'[1]dollar (3)'!$A$1:$E$169,2,FALSE)</f>
        <v>83.23</v>
      </c>
      <c r="E20" s="8">
        <f>VLOOKUP(A20,'[1]CBOE Gold Volatitity Historical'!$A$1:$F$169,2,FALSE)</f>
        <v>24.99</v>
      </c>
      <c r="F20">
        <f>VLOOKUP(A20,'[1]CBOE Gold Volatitity Historical'!$A$1:$F$169,3,FALSE)</f>
        <v>31.84</v>
      </c>
    </row>
    <row r="21" spans="1:6">
      <c r="A21" s="9">
        <v>41487</v>
      </c>
      <c r="B21" s="10">
        <v>1396.1</v>
      </c>
      <c r="C21" s="10">
        <v>1323.4</v>
      </c>
      <c r="D21" s="11">
        <f>VLOOKUP(A21,'[1]dollar (3)'!$A$1:$E$169,2,FALSE)</f>
        <v>81.67</v>
      </c>
      <c r="E21" s="8">
        <f>VLOOKUP(A21,'[1]CBOE Gold Volatitity Historical'!$A$1:$F$169,2,FALSE)</f>
        <v>24.44</v>
      </c>
      <c r="F21">
        <f>VLOOKUP(A21,'[1]CBOE Gold Volatitity Historical'!$A$1:$F$169,3,FALSE)</f>
        <v>24.99</v>
      </c>
    </row>
    <row r="22" spans="1:6">
      <c r="A22" s="5">
        <v>41518</v>
      </c>
      <c r="B22" s="6">
        <v>1327</v>
      </c>
      <c r="C22" s="6">
        <v>1394</v>
      </c>
      <c r="D22" s="7">
        <f>VLOOKUP(A22,'[1]dollar (3)'!$A$1:$E$169,2,FALSE)</f>
        <v>81.99</v>
      </c>
      <c r="E22" s="8">
        <f>VLOOKUP(A22,'[1]CBOE Gold Volatitity Historical'!$A$1:$F$169,2,FALSE)</f>
        <v>23.72</v>
      </c>
      <c r="F22">
        <f>VLOOKUP(A22,'[1]CBOE Gold Volatitity Historical'!$A$1:$F$169,3,FALSE)</f>
        <v>24.44</v>
      </c>
    </row>
    <row r="23" spans="1:6">
      <c r="A23" s="9">
        <v>41548</v>
      </c>
      <c r="B23" s="10">
        <v>1323.7</v>
      </c>
      <c r="C23" s="10">
        <v>1328.2</v>
      </c>
      <c r="D23" s="11">
        <f>VLOOKUP(A23,'[1]dollar (3)'!$A$1:$E$169,2,FALSE)</f>
        <v>80.260000000000005</v>
      </c>
      <c r="E23" s="8">
        <f>VLOOKUP(A23,'[1]CBOE Gold Volatitity Historical'!$A$1:$F$169,2,FALSE)</f>
        <v>20.57</v>
      </c>
      <c r="F23">
        <f>VLOOKUP(A23,'[1]CBOE Gold Volatitity Historical'!$A$1:$F$169,3,FALSE)</f>
        <v>23.72</v>
      </c>
    </row>
    <row r="24" spans="1:6">
      <c r="A24" s="5">
        <v>41579</v>
      </c>
      <c r="B24" s="6">
        <v>1250.4000000000001</v>
      </c>
      <c r="C24" s="6">
        <v>1323.1</v>
      </c>
      <c r="D24" s="7">
        <f>VLOOKUP(A24,'[1]dollar (3)'!$A$1:$E$169,2,FALSE)</f>
        <v>80.260000000000005</v>
      </c>
      <c r="E24" s="8">
        <f>VLOOKUP(A24,'[1]CBOE Gold Volatitity Historical'!$A$1:$F$169,2,FALSE)</f>
        <v>19.329999999999998</v>
      </c>
      <c r="F24">
        <f>VLOOKUP(A24,'[1]CBOE Gold Volatitity Historical'!$A$1:$F$169,3,FALSE)</f>
        <v>20.57</v>
      </c>
    </row>
    <row r="25" spans="1:6">
      <c r="A25" s="9">
        <v>41609</v>
      </c>
      <c r="B25" s="10">
        <v>1202.3</v>
      </c>
      <c r="C25" s="10">
        <v>1250.5999999999999</v>
      </c>
      <c r="D25" s="11">
        <f>VLOOKUP(A25,'[1]dollar (3)'!$A$1:$E$169,2,FALSE)</f>
        <v>80.66</v>
      </c>
      <c r="E25" s="8">
        <f>VLOOKUP(A25,'[1]CBOE Gold Volatitity Historical'!$A$1:$F$169,2,FALSE)</f>
        <v>21.65</v>
      </c>
      <c r="F25">
        <f>VLOOKUP(A25,'[1]CBOE Gold Volatitity Historical'!$A$1:$F$169,3,FALSE)</f>
        <v>19.329999999999998</v>
      </c>
    </row>
    <row r="26" spans="1:6">
      <c r="A26" s="5">
        <v>41640</v>
      </c>
      <c r="B26" s="6">
        <v>1239.8</v>
      </c>
      <c r="C26" s="6">
        <v>1204.5</v>
      </c>
      <c r="D26" s="7">
        <f>VLOOKUP(A26,'[1]dollar (3)'!$A$1:$E$169,2,FALSE)</f>
        <v>80</v>
      </c>
      <c r="E26" s="8">
        <f>VLOOKUP(A26,'[1]CBOE Gold Volatitity Historical'!$A$1:$F$169,2,FALSE)</f>
        <v>18.62</v>
      </c>
      <c r="F26">
        <f>VLOOKUP(A26,'[1]CBOE Gold Volatitity Historical'!$A$1:$F$169,3,FALSE)</f>
        <v>21.23</v>
      </c>
    </row>
    <row r="27" spans="1:6">
      <c r="A27" s="9">
        <v>41671</v>
      </c>
      <c r="B27" s="10">
        <v>1321.6</v>
      </c>
      <c r="C27" s="10">
        <v>1242</v>
      </c>
      <c r="D27" s="11">
        <f>VLOOKUP(A27,'[1]dollar (3)'!$A$1:$E$169,2,FALSE)</f>
        <v>81.28</v>
      </c>
      <c r="E27" s="8">
        <f>VLOOKUP(A27,'[1]CBOE Gold Volatitity Historical'!$A$1:$F$169,2,FALSE)</f>
        <v>16.07</v>
      </c>
      <c r="F27">
        <f>VLOOKUP(A27,'[1]CBOE Gold Volatitity Historical'!$A$1:$F$169,3,FALSE)</f>
        <v>18.62</v>
      </c>
    </row>
    <row r="28" spans="1:6">
      <c r="A28" s="5">
        <v>41699</v>
      </c>
      <c r="B28" s="6">
        <v>1283.8</v>
      </c>
      <c r="C28" s="6">
        <v>1332.4</v>
      </c>
      <c r="D28" s="7">
        <f>VLOOKUP(A28,'[1]dollar (3)'!$A$1:$E$169,2,FALSE)</f>
        <v>79.84</v>
      </c>
      <c r="E28" s="8">
        <f>VLOOKUP(A28,'[1]CBOE Gold Volatitity Historical'!$A$1:$F$169,2,FALSE)</f>
        <v>17.37</v>
      </c>
      <c r="F28">
        <f>VLOOKUP(A28,'[1]CBOE Gold Volatitity Historical'!$A$1:$F$169,3,FALSE)</f>
        <v>16.84</v>
      </c>
    </row>
    <row r="29" spans="1:6">
      <c r="A29" s="9">
        <v>41730</v>
      </c>
      <c r="B29" s="10">
        <v>1295.9000000000001</v>
      </c>
      <c r="C29" s="10">
        <v>1284.5999999999999</v>
      </c>
      <c r="D29" s="11">
        <f>VLOOKUP(A29,'[1]dollar (3)'!$A$1:$E$169,2,FALSE)</f>
        <v>80.11</v>
      </c>
      <c r="E29" s="8">
        <f>VLOOKUP(A29,'[1]CBOE Gold Volatitity Historical'!$A$1:$F$169,2,FALSE)</f>
        <v>15.52</v>
      </c>
      <c r="F29">
        <f>VLOOKUP(A29,'[1]CBOE Gold Volatitity Historical'!$A$1:$F$169,3,FALSE)</f>
        <v>17.37</v>
      </c>
    </row>
    <row r="30" spans="1:6">
      <c r="A30" s="5">
        <v>41760</v>
      </c>
      <c r="B30" s="6">
        <v>1246</v>
      </c>
      <c r="C30" s="6">
        <v>1291.9000000000001</v>
      </c>
      <c r="D30" s="7">
        <f>VLOOKUP(A30,'[1]dollar (3)'!$A$1:$E$169,2,FALSE)</f>
        <v>79.510000000000005</v>
      </c>
      <c r="E30" s="8">
        <f>VLOOKUP(A30,'[1]CBOE Gold Volatitity Historical'!$A$1:$F$169,2,FALSE)</f>
        <v>15.34</v>
      </c>
      <c r="F30">
        <f>VLOOKUP(A30,'[1]CBOE Gold Volatitity Historical'!$A$1:$F$169,3,FALSE)</f>
        <v>15.52</v>
      </c>
    </row>
    <row r="31" spans="1:6">
      <c r="A31" s="9">
        <v>41791</v>
      </c>
      <c r="B31" s="10">
        <v>1322</v>
      </c>
      <c r="C31" s="10">
        <v>1250.5</v>
      </c>
      <c r="D31" s="11">
        <f>VLOOKUP(A31,'[1]dollar (3)'!$A$1:$E$169,2,FALSE)</f>
        <v>80.040000000000006</v>
      </c>
      <c r="E31" s="8">
        <f>VLOOKUP(A31,'[1]CBOE Gold Volatitity Historical'!$A$1:$F$169,2,FALSE)</f>
        <v>14.01</v>
      </c>
      <c r="F31">
        <f>VLOOKUP(A31,'[1]CBOE Gold Volatitity Historical'!$A$1:$F$169,3,FALSE)</f>
        <v>15.55</v>
      </c>
    </row>
    <row r="32" spans="1:6">
      <c r="A32" s="5">
        <v>41821</v>
      </c>
      <c r="B32" s="6">
        <v>1282.8</v>
      </c>
      <c r="C32" s="6">
        <v>1327.5</v>
      </c>
      <c r="D32" s="7">
        <f>VLOOKUP(A32,'[1]dollar (3)'!$A$1:$E$169,2,FALSE)</f>
        <v>79.8</v>
      </c>
      <c r="E32" s="8">
        <f>VLOOKUP(A32,'[1]CBOE Gold Volatitity Historical'!$A$1:$F$169,2,FALSE)</f>
        <v>15.46</v>
      </c>
      <c r="F32">
        <f>VLOOKUP(A32,'[1]CBOE Gold Volatitity Historical'!$A$1:$F$169,3,FALSE)</f>
        <v>14.01</v>
      </c>
    </row>
    <row r="33" spans="1:6">
      <c r="A33" s="9">
        <v>41852</v>
      </c>
      <c r="B33" s="10">
        <v>1287.4000000000001</v>
      </c>
      <c r="C33" s="10">
        <v>1284.2</v>
      </c>
      <c r="D33" s="11">
        <f>VLOOKUP(A33,'[1]dollar (3)'!$A$1:$E$169,2,FALSE)</f>
        <v>81.459999999999994</v>
      </c>
      <c r="E33" s="8">
        <f>VLOOKUP(A33,'[1]CBOE Gold Volatitity Historical'!$A$1:$F$169,2,FALSE)</f>
        <v>12.85</v>
      </c>
      <c r="F33">
        <f>VLOOKUP(A33,'[1]CBOE Gold Volatitity Historical'!$A$1:$F$169,3,FALSE)</f>
        <v>15.46</v>
      </c>
    </row>
    <row r="34" spans="1:6">
      <c r="A34" s="5">
        <v>41883</v>
      </c>
      <c r="B34" s="6">
        <v>1211.5999999999999</v>
      </c>
      <c r="C34" s="6">
        <v>1288.5</v>
      </c>
      <c r="D34" s="7">
        <f>VLOOKUP(A34,'[1]dollar (3)'!$A$1:$E$169,2,FALSE)</f>
        <v>82.48</v>
      </c>
      <c r="E34" s="8">
        <f>VLOOKUP(A34,'[1]CBOE Gold Volatitity Historical'!$A$1:$F$169,2,FALSE)</f>
        <v>18.829999999999998</v>
      </c>
      <c r="F34">
        <f>VLOOKUP(A34,'[1]CBOE Gold Volatitity Historical'!$A$1:$F$169,3,FALSE)</f>
        <v>12.85</v>
      </c>
    </row>
    <row r="35" spans="1:6">
      <c r="A35" s="9">
        <v>41913</v>
      </c>
      <c r="B35" s="10">
        <v>1171.5999999999999</v>
      </c>
      <c r="C35" s="10">
        <v>1209.4000000000001</v>
      </c>
      <c r="D35" s="11">
        <f>VLOOKUP(A35,'[1]dollar (3)'!$A$1:$E$169,2,FALSE)</f>
        <v>85.91</v>
      </c>
      <c r="E35" s="8">
        <f>VLOOKUP(A35,'[1]CBOE Gold Volatitity Historical'!$A$1:$F$169,2,FALSE)</f>
        <v>21.54</v>
      </c>
      <c r="F35">
        <f>VLOOKUP(A35,'[1]CBOE Gold Volatitity Historical'!$A$1:$F$169,3,FALSE)</f>
        <v>18.829999999999998</v>
      </c>
    </row>
    <row r="36" spans="1:6">
      <c r="A36" s="5">
        <v>41944</v>
      </c>
      <c r="B36" s="6">
        <v>1175.5</v>
      </c>
      <c r="C36" s="6">
        <v>1171.0999999999999</v>
      </c>
      <c r="D36" s="7">
        <f>VLOOKUP(A36,'[1]dollar (3)'!$A$1:$E$169,2,FALSE)</f>
        <v>87.09</v>
      </c>
      <c r="E36" s="8">
        <f>VLOOKUP(A36,'[1]CBOE Gold Volatitity Historical'!$A$1:$F$169,2,FALSE)</f>
        <v>25.17</v>
      </c>
      <c r="F36">
        <f>VLOOKUP(A36,'[1]CBOE Gold Volatitity Historical'!$A$1:$F$169,3,FALSE)</f>
        <v>21.54</v>
      </c>
    </row>
    <row r="37" spans="1:6">
      <c r="A37" s="9">
        <v>41974</v>
      </c>
      <c r="B37" s="10">
        <v>1184.0999999999999</v>
      </c>
      <c r="C37" s="10">
        <v>1159.4000000000001</v>
      </c>
      <c r="D37" s="11">
        <f>VLOOKUP(A37,'[1]dollar (3)'!$A$1:$E$169,2,FALSE)</f>
        <v>88.3</v>
      </c>
      <c r="E37" s="8">
        <f>VLOOKUP(A37,'[1]CBOE Gold Volatitity Historical'!$A$1:$F$169,2,FALSE)</f>
        <v>20.079999999999998</v>
      </c>
      <c r="F37">
        <f>VLOOKUP(A37,'[1]CBOE Gold Volatitity Historical'!$A$1:$F$169,3,FALSE)</f>
        <v>25.17</v>
      </c>
    </row>
    <row r="38" spans="1:6">
      <c r="A38" s="5">
        <v>42005</v>
      </c>
      <c r="B38" s="6">
        <v>1279.2</v>
      </c>
      <c r="C38" s="6">
        <v>1184</v>
      </c>
      <c r="D38" s="7">
        <f>VLOOKUP(A38,'[1]dollar (3)'!$A$1:$E$169,2,FALSE)</f>
        <v>89.95</v>
      </c>
      <c r="E38" s="8">
        <f>VLOOKUP(A38,'[1]CBOE Gold Volatitity Historical'!$A$1:$F$169,2,FALSE)</f>
        <v>19.649999999999999</v>
      </c>
      <c r="F38">
        <f>VLOOKUP(A38,'[1]CBOE Gold Volatitity Historical'!$A$1:$F$169,3,FALSE)</f>
        <v>20.079999999999998</v>
      </c>
    </row>
    <row r="39" spans="1:6">
      <c r="A39" s="9">
        <v>42036</v>
      </c>
      <c r="B39" s="10">
        <v>1213.0999999999999</v>
      </c>
      <c r="C39" s="10">
        <v>1283</v>
      </c>
      <c r="D39" s="11">
        <f>VLOOKUP(A39,'[1]dollar (3)'!$A$1:$E$169,2,FALSE)</f>
        <v>94.67</v>
      </c>
      <c r="E39" s="8">
        <f>VLOOKUP(A39,'[1]CBOE Gold Volatitity Historical'!$A$1:$F$169,2,FALSE)</f>
        <v>15.91</v>
      </c>
      <c r="F39">
        <f>VLOOKUP(A39,'[1]CBOE Gold Volatitity Historical'!$A$1:$F$169,3,FALSE)</f>
        <v>20.74</v>
      </c>
    </row>
    <row r="40" spans="1:6">
      <c r="A40" s="5">
        <v>42064</v>
      </c>
      <c r="B40" s="6">
        <v>1183.2</v>
      </c>
      <c r="C40" s="6">
        <v>1213.8</v>
      </c>
      <c r="D40" s="7">
        <f>VLOOKUP(A40,'[1]dollar (3)'!$A$1:$E$169,2,FALSE)</f>
        <v>95.36</v>
      </c>
      <c r="E40" s="8">
        <f>VLOOKUP(A40,'[1]CBOE Gold Volatitity Historical'!$A$1:$F$169,2,FALSE)</f>
        <v>16.34</v>
      </c>
      <c r="F40">
        <f>VLOOKUP(A40,'[1]CBOE Gold Volatitity Historical'!$A$1:$F$169,3,FALSE)</f>
        <v>15.91</v>
      </c>
    </row>
    <row r="41" spans="1:6">
      <c r="A41" s="9">
        <v>42095</v>
      </c>
      <c r="B41" s="10">
        <v>1182.4000000000001</v>
      </c>
      <c r="C41" s="10">
        <v>1183.2</v>
      </c>
      <c r="D41" s="11">
        <f>VLOOKUP(A41,'[1]dollar (3)'!$A$1:$E$169,2,FALSE)</f>
        <v>98.4</v>
      </c>
      <c r="E41" s="8">
        <f>VLOOKUP(A41,'[1]CBOE Gold Volatitity Historical'!$A$1:$F$169,2,FALSE)</f>
        <v>16.760000000000002</v>
      </c>
      <c r="F41">
        <f>VLOOKUP(A41,'[1]CBOE Gold Volatitity Historical'!$A$1:$F$169,3,FALSE)</f>
        <v>15.94</v>
      </c>
    </row>
    <row r="42" spans="1:6">
      <c r="A42" s="5">
        <v>42125</v>
      </c>
      <c r="B42" s="6">
        <v>1189.8</v>
      </c>
      <c r="C42" s="6">
        <v>1183.7</v>
      </c>
      <c r="D42" s="7">
        <f>VLOOKUP(A42,'[1]dollar (3)'!$A$1:$E$169,2,FALSE)</f>
        <v>94.83</v>
      </c>
      <c r="E42" s="8">
        <f>VLOOKUP(A42,'[1]CBOE Gold Volatitity Historical'!$A$1:$F$169,2,FALSE)</f>
        <v>13.99</v>
      </c>
      <c r="F42">
        <f>VLOOKUP(A42,'[1]CBOE Gold Volatitity Historical'!$A$1:$F$169,3,FALSE)</f>
        <v>17.329999999999998</v>
      </c>
    </row>
    <row r="43" spans="1:6">
      <c r="A43" s="9">
        <v>42156</v>
      </c>
      <c r="B43" s="10">
        <v>1171.8</v>
      </c>
      <c r="C43" s="10">
        <v>1189.8</v>
      </c>
      <c r="D43" s="11">
        <f>VLOOKUP(A43,'[1]dollar (3)'!$A$1:$E$169,2,FALSE)</f>
        <v>96.89</v>
      </c>
      <c r="E43" s="8">
        <f>VLOOKUP(A43,'[1]CBOE Gold Volatitity Historical'!$A$1:$F$169,2,FALSE)</f>
        <v>15.34</v>
      </c>
      <c r="F43">
        <f>VLOOKUP(A43,'[1]CBOE Gold Volatitity Historical'!$A$1:$F$169,3,FALSE)</f>
        <v>14.27</v>
      </c>
    </row>
    <row r="44" spans="1:6">
      <c r="A44" s="5">
        <v>42186</v>
      </c>
      <c r="B44" s="6">
        <v>1095.0999999999999</v>
      </c>
      <c r="C44" s="6">
        <v>1172.4000000000001</v>
      </c>
      <c r="D44" s="7">
        <f>VLOOKUP(A44,'[1]dollar (3)'!$A$1:$E$169,2,FALSE)</f>
        <v>96.64</v>
      </c>
      <c r="E44" s="8">
        <f>VLOOKUP(A44,'[1]CBOE Gold Volatitity Historical'!$A$1:$F$169,2,FALSE)</f>
        <v>16.79</v>
      </c>
      <c r="F44">
        <f>VLOOKUP(A44,'[1]CBOE Gold Volatitity Historical'!$A$1:$F$169,3,FALSE)</f>
        <v>15.02</v>
      </c>
    </row>
    <row r="45" spans="1:6">
      <c r="A45" s="9">
        <v>42217</v>
      </c>
      <c r="B45" s="10">
        <v>1132.5</v>
      </c>
      <c r="C45" s="10">
        <v>1095.0999999999999</v>
      </c>
      <c r="D45" s="11">
        <f>VLOOKUP(A45,'[1]dollar (3)'!$A$1:$E$169,2,FALSE)</f>
        <v>97.47</v>
      </c>
      <c r="E45" s="8">
        <f>VLOOKUP(A45,'[1]CBOE Gold Volatitity Historical'!$A$1:$F$169,2,FALSE)</f>
        <v>19.34</v>
      </c>
      <c r="F45">
        <f>VLOOKUP(A45,'[1]CBOE Gold Volatitity Historical'!$A$1:$F$169,3,FALSE)</f>
        <v>16.79</v>
      </c>
    </row>
    <row r="46" spans="1:6">
      <c r="A46" s="5">
        <v>42248</v>
      </c>
      <c r="B46" s="6">
        <v>1115.2</v>
      </c>
      <c r="C46" s="6">
        <v>1133.8</v>
      </c>
      <c r="D46" s="7">
        <f>VLOOKUP(A46,'[1]dollar (3)'!$A$1:$E$169,2,FALSE)</f>
        <v>95.91</v>
      </c>
      <c r="E46" s="8">
        <f>VLOOKUP(A46,'[1]CBOE Gold Volatitity Historical'!$A$1:$F$169,2,FALSE)</f>
        <v>17.47</v>
      </c>
      <c r="F46">
        <f>VLOOKUP(A46,'[1]CBOE Gold Volatitity Historical'!$A$1:$F$169,3,FALSE)</f>
        <v>19.34</v>
      </c>
    </row>
    <row r="47" spans="1:6">
      <c r="A47" s="9">
        <v>42278</v>
      </c>
      <c r="B47" s="10">
        <v>1141.4000000000001</v>
      </c>
      <c r="C47" s="10">
        <v>1114.5</v>
      </c>
      <c r="D47" s="11">
        <f>VLOOKUP(A47,'[1]dollar (3)'!$A$1:$E$169,2,FALSE)</f>
        <v>96.27</v>
      </c>
      <c r="E47" s="8">
        <f>VLOOKUP(A47,'[1]CBOE Gold Volatitity Historical'!$A$1:$F$169,2,FALSE)</f>
        <v>15.39</v>
      </c>
      <c r="F47">
        <f>VLOOKUP(A47,'[1]CBOE Gold Volatitity Historical'!$A$1:$F$169,3,FALSE)</f>
        <v>17.47</v>
      </c>
    </row>
    <row r="48" spans="1:6">
      <c r="A48" s="5">
        <v>42309</v>
      </c>
      <c r="B48" s="6">
        <v>1065.3</v>
      </c>
      <c r="C48" s="6">
        <v>1141.3</v>
      </c>
      <c r="D48" s="7">
        <f>VLOOKUP(A48,'[1]dollar (3)'!$A$1:$E$169,2,FALSE)</f>
        <v>97.19</v>
      </c>
      <c r="E48" s="8">
        <f>VLOOKUP(A48,'[1]CBOE Gold Volatitity Historical'!$A$1:$F$169,2,FALSE)</f>
        <v>16.91</v>
      </c>
      <c r="F48">
        <f>VLOOKUP(A48,'[1]CBOE Gold Volatitity Historical'!$A$1:$F$169,3,FALSE)</f>
        <v>15.39</v>
      </c>
    </row>
    <row r="49" spans="1:6">
      <c r="A49" s="9">
        <v>42339</v>
      </c>
      <c r="B49" s="10">
        <v>1060.2</v>
      </c>
      <c r="C49" s="10">
        <v>1064.5999999999999</v>
      </c>
      <c r="D49" s="11">
        <f>VLOOKUP(A49,'[1]dollar (3)'!$A$1:$E$169,2,FALSE)</f>
        <v>100.23</v>
      </c>
      <c r="E49" s="8">
        <f>VLOOKUP(A49,'[1]CBOE Gold Volatitity Historical'!$A$1:$F$169,2,FALSE)</f>
        <v>14.99</v>
      </c>
      <c r="F49">
        <f>VLOOKUP(A49,'[1]CBOE Gold Volatitity Historical'!$A$1:$F$169,3,FALSE)</f>
        <v>16.91</v>
      </c>
    </row>
    <row r="50" spans="1:6">
      <c r="A50" s="5">
        <v>42370</v>
      </c>
      <c r="B50" s="6">
        <v>1116.4000000000001</v>
      </c>
      <c r="C50" s="6">
        <v>1061.5</v>
      </c>
      <c r="D50" s="7">
        <f>VLOOKUP(A50,'[1]dollar (3)'!$A$1:$E$169,2,FALSE)</f>
        <v>98.22</v>
      </c>
      <c r="E50" s="8">
        <f>VLOOKUP(A50,'[1]CBOE Gold Volatitity Historical'!$A$1:$F$169,2,FALSE)</f>
        <v>15.73</v>
      </c>
      <c r="F50">
        <f>VLOOKUP(A50,'[1]CBOE Gold Volatitity Historical'!$A$1:$F$169,3,FALSE)</f>
        <v>14.99</v>
      </c>
    </row>
    <row r="51" spans="1:6">
      <c r="A51" s="9">
        <v>42401</v>
      </c>
      <c r="B51" s="10">
        <v>1234.4000000000001</v>
      </c>
      <c r="C51" s="10">
        <v>1118</v>
      </c>
      <c r="D51" s="11">
        <f>VLOOKUP(A51,'[1]dollar (3)'!$A$1:$E$169,2,FALSE)</f>
        <v>98.65</v>
      </c>
      <c r="E51" s="8">
        <f>VLOOKUP(A51,'[1]CBOE Gold Volatitity Historical'!$A$1:$F$169,2,FALSE)</f>
        <v>22.59</v>
      </c>
      <c r="F51">
        <f>VLOOKUP(A51,'[1]CBOE Gold Volatitity Historical'!$A$1:$F$169,3,FALSE)</f>
        <v>15.73</v>
      </c>
    </row>
    <row r="52" spans="1:6">
      <c r="A52" s="5">
        <v>42430</v>
      </c>
      <c r="B52" s="6">
        <v>1235.5999999999999</v>
      </c>
      <c r="C52" s="6">
        <v>1238.9000000000001</v>
      </c>
      <c r="D52" s="7">
        <f>VLOOKUP(A52,'[1]dollar (3)'!$A$1:$E$169,2,FALSE)</f>
        <v>98.18</v>
      </c>
      <c r="E52" s="8">
        <f>VLOOKUP(A52,'[1]CBOE Gold Volatitity Historical'!$A$1:$F$169,2,FALSE)</f>
        <v>18.45</v>
      </c>
      <c r="F52">
        <f>VLOOKUP(A52,'[1]CBOE Gold Volatitity Historical'!$A$1:$F$169,3,FALSE)</f>
        <v>22.59</v>
      </c>
    </row>
    <row r="53" spans="1:6">
      <c r="A53" s="9">
        <v>42461</v>
      </c>
      <c r="B53" s="10">
        <v>1290.5</v>
      </c>
      <c r="C53" s="10">
        <v>1234.0999999999999</v>
      </c>
      <c r="D53" s="11">
        <f>VLOOKUP(A53,'[1]dollar (3)'!$A$1:$E$169,2,FALSE)</f>
        <v>94.64</v>
      </c>
      <c r="E53" s="8">
        <f>VLOOKUP(A53,'[1]CBOE Gold Volatitity Historical'!$A$1:$F$169,2,FALSE)</f>
        <v>20.23</v>
      </c>
      <c r="F53">
        <f>VLOOKUP(A53,'[1]CBOE Gold Volatitity Historical'!$A$1:$F$169,3,FALSE)</f>
        <v>18.25</v>
      </c>
    </row>
    <row r="54" spans="1:6">
      <c r="A54" s="5">
        <v>42491</v>
      </c>
      <c r="B54" s="6">
        <v>1217.5</v>
      </c>
      <c r="C54" s="6">
        <v>1293.2</v>
      </c>
      <c r="D54" s="7">
        <f>VLOOKUP(A54,'[1]dollar (3)'!$A$1:$E$169,2,FALSE)</f>
        <v>93.02</v>
      </c>
      <c r="E54" s="8">
        <f>VLOOKUP(A54,'[1]CBOE Gold Volatitity Historical'!$A$1:$F$169,2,FALSE)</f>
        <v>15.83</v>
      </c>
      <c r="F54">
        <f>VLOOKUP(A54,'[1]CBOE Gold Volatitity Historical'!$A$1:$F$169,3,FALSE)</f>
        <v>20.23</v>
      </c>
    </row>
    <row r="55" spans="1:6">
      <c r="A55" s="9">
        <v>42522</v>
      </c>
      <c r="B55" s="10">
        <v>1320.6</v>
      </c>
      <c r="C55" s="10">
        <v>1217.9000000000001</v>
      </c>
      <c r="D55" s="11">
        <f>VLOOKUP(A55,'[1]dollar (3)'!$A$1:$E$169,2,FALSE)</f>
        <v>95.81</v>
      </c>
      <c r="E55" s="8">
        <f>VLOOKUP(A55,'[1]CBOE Gold Volatitity Historical'!$A$1:$F$169,2,FALSE)</f>
        <v>18.5</v>
      </c>
      <c r="F55">
        <f>VLOOKUP(A55,'[1]CBOE Gold Volatitity Historical'!$A$1:$F$169,3,FALSE)</f>
        <v>15.97</v>
      </c>
    </row>
    <row r="56" spans="1:6">
      <c r="A56" s="5">
        <v>42552</v>
      </c>
      <c r="B56" s="6">
        <v>1357.5</v>
      </c>
      <c r="C56" s="6">
        <v>1324.8</v>
      </c>
      <c r="D56" s="7">
        <f>VLOOKUP(A56,'[1]dollar (3)'!$A$1:$E$169,2,FALSE)</f>
        <v>95.89</v>
      </c>
      <c r="E56" s="8">
        <f>VLOOKUP(A56,'[1]CBOE Gold Volatitity Historical'!$A$1:$F$169,2,FALSE)</f>
        <v>15.8</v>
      </c>
      <c r="F56">
        <f>VLOOKUP(A56,'[1]CBOE Gold Volatitity Historical'!$A$1:$F$169,3,FALSE)</f>
        <v>18.5</v>
      </c>
    </row>
    <row r="57" spans="1:6">
      <c r="A57" s="9">
        <v>42583</v>
      </c>
      <c r="B57" s="10">
        <v>1311.4</v>
      </c>
      <c r="C57" s="10">
        <v>1357.2</v>
      </c>
      <c r="D57" s="11">
        <f>VLOOKUP(A57,'[1]dollar (3)'!$A$1:$E$169,2,FALSE)</f>
        <v>96.01</v>
      </c>
      <c r="E57" s="8">
        <f>VLOOKUP(A57,'[1]CBOE Gold Volatitity Historical'!$A$1:$F$169,2,FALSE)</f>
        <v>16.010000000000002</v>
      </c>
      <c r="F57">
        <f>VLOOKUP(A57,'[1]CBOE Gold Volatitity Historical'!$A$1:$F$169,3,FALSE)</f>
        <v>15.8</v>
      </c>
    </row>
    <row r="58" spans="1:6">
      <c r="A58" s="5">
        <v>42614</v>
      </c>
      <c r="B58" s="6">
        <v>1317.1</v>
      </c>
      <c r="C58" s="6">
        <v>1311.7</v>
      </c>
      <c r="D58" s="7">
        <f>VLOOKUP(A58,'[1]dollar (3)'!$A$1:$E$169,2,FALSE)</f>
        <v>95.98</v>
      </c>
      <c r="E58" s="8">
        <f>VLOOKUP(A58,'[1]CBOE Gold Volatitity Historical'!$A$1:$F$169,2,FALSE)</f>
        <v>13.88</v>
      </c>
      <c r="F58">
        <f>VLOOKUP(A58,'[1]CBOE Gold Volatitity Historical'!$A$1:$F$169,3,FALSE)</f>
        <v>16.010000000000002</v>
      </c>
    </row>
    <row r="59" spans="1:6">
      <c r="A59" s="9">
        <v>42644</v>
      </c>
      <c r="B59" s="10">
        <v>1273.0999999999999</v>
      </c>
      <c r="C59" s="10">
        <v>1321</v>
      </c>
      <c r="D59" s="11">
        <f>VLOOKUP(A59,'[1]dollar (3)'!$A$1:$E$169,2,FALSE)</f>
        <v>95.42</v>
      </c>
      <c r="E59" s="8">
        <f>VLOOKUP(A59,'[1]CBOE Gold Volatitity Historical'!$A$1:$F$169,2,FALSE)</f>
        <v>18.13</v>
      </c>
      <c r="F59">
        <f>VLOOKUP(A59,'[1]CBOE Gold Volatitity Historical'!$A$1:$F$169,3,FALSE)</f>
        <v>14.35</v>
      </c>
    </row>
    <row r="60" spans="1:6">
      <c r="A60" s="5">
        <v>42675</v>
      </c>
      <c r="B60" s="6">
        <v>1173.9000000000001</v>
      </c>
      <c r="C60" s="6">
        <v>1277.8</v>
      </c>
      <c r="D60" s="7">
        <f>VLOOKUP(A60,'[1]dollar (3)'!$A$1:$E$169,2,FALSE)</f>
        <v>98.39</v>
      </c>
      <c r="E60" s="8">
        <f>VLOOKUP(A60,'[1]CBOE Gold Volatitity Historical'!$A$1:$F$169,2,FALSE)</f>
        <v>19.18</v>
      </c>
      <c r="F60">
        <f>VLOOKUP(A60,'[1]CBOE Gold Volatitity Historical'!$A$1:$F$169,3,FALSE)</f>
        <v>19.03</v>
      </c>
    </row>
    <row r="61" spans="1:6">
      <c r="A61" s="9">
        <v>42705</v>
      </c>
      <c r="B61" s="10">
        <v>1151.7</v>
      </c>
      <c r="C61" s="10">
        <v>1175.0999999999999</v>
      </c>
      <c r="D61" s="11">
        <f>VLOOKUP(A61,'[1]dollar (3)'!$A$1:$E$169,2,FALSE)</f>
        <v>101.52</v>
      </c>
      <c r="E61" s="8">
        <f>VLOOKUP(A61,'[1]CBOE Gold Volatitity Historical'!$A$1:$F$169,2,FALSE)</f>
        <v>16.23</v>
      </c>
      <c r="F61">
        <f>VLOOKUP(A61,'[1]CBOE Gold Volatitity Historical'!$A$1:$F$169,3,FALSE)</f>
        <v>19.739999999999998</v>
      </c>
    </row>
    <row r="62" spans="1:6">
      <c r="A62" s="5">
        <v>42736</v>
      </c>
      <c r="B62" s="6">
        <v>1211.4000000000001</v>
      </c>
      <c r="C62" s="6">
        <v>1151.4000000000001</v>
      </c>
      <c r="D62" s="7">
        <f>VLOOKUP(A62,'[1]dollar (3)'!$A$1:$E$169,2,FALSE)</f>
        <v>102.13</v>
      </c>
      <c r="E62" s="8">
        <f>VLOOKUP(A62,'[1]CBOE Gold Volatitity Historical'!$A$1:$F$169,2,FALSE)</f>
        <v>15.27</v>
      </c>
      <c r="F62">
        <f>VLOOKUP(A62,'[1]CBOE Gold Volatitity Historical'!$A$1:$F$169,3,FALSE)</f>
        <v>16.12</v>
      </c>
    </row>
    <row r="63" spans="1:6">
      <c r="A63" s="9">
        <v>42767</v>
      </c>
      <c r="B63" s="10">
        <v>1253.9000000000001</v>
      </c>
      <c r="C63" s="10">
        <v>1212.2</v>
      </c>
      <c r="D63" s="11">
        <f>VLOOKUP(A63,'[1]dollar (3)'!$A$1:$E$169,2,FALSE)</f>
        <v>99.56</v>
      </c>
      <c r="E63" s="8">
        <f>VLOOKUP(A63,'[1]CBOE Gold Volatitity Historical'!$A$1:$F$169,2,FALSE)</f>
        <v>14.3</v>
      </c>
      <c r="F63">
        <f>VLOOKUP(A63,'[1]CBOE Gold Volatitity Historical'!$A$1:$F$169,3,FALSE)</f>
        <v>14.86</v>
      </c>
    </row>
    <row r="64" spans="1:6">
      <c r="A64" s="5">
        <v>42795</v>
      </c>
      <c r="B64" s="6">
        <v>1251.2</v>
      </c>
      <c r="C64" s="6">
        <v>1248.5</v>
      </c>
      <c r="D64" s="7">
        <f>VLOOKUP(A64,'[1]dollar (3)'!$A$1:$E$169,2,FALSE)</f>
        <v>101.43</v>
      </c>
      <c r="E64" s="8">
        <f>VLOOKUP(A64,'[1]CBOE Gold Volatitity Historical'!$A$1:$F$169,2,FALSE)</f>
        <v>12.41</v>
      </c>
      <c r="F64">
        <f>VLOOKUP(A64,'[1]CBOE Gold Volatitity Historical'!$A$1:$F$169,3,FALSE)</f>
        <v>14.35</v>
      </c>
    </row>
    <row r="65" spans="1:6">
      <c r="A65" s="9">
        <v>42826</v>
      </c>
      <c r="B65" s="10">
        <v>1268.3</v>
      </c>
      <c r="C65" s="10">
        <v>1277.2</v>
      </c>
      <c r="D65" s="11">
        <f>VLOOKUP(A65,'[1]dollar (3)'!$A$1:$E$169,2,FALSE)</f>
        <v>100.51</v>
      </c>
      <c r="E65" s="8">
        <f>VLOOKUP(A65,'[1]CBOE Gold Volatitity Historical'!$A$1:$F$169,2,FALSE)</f>
        <v>11.6</v>
      </c>
      <c r="F65">
        <f>VLOOKUP(A65,'[1]CBOE Gold Volatitity Historical'!$A$1:$F$169,3,FALSE)</f>
        <v>12.41</v>
      </c>
    </row>
    <row r="66" spans="1:6">
      <c r="A66" s="5">
        <v>42856</v>
      </c>
      <c r="B66" s="6">
        <v>1270.0999999999999</v>
      </c>
      <c r="C66" s="6">
        <v>1257.4000000000001</v>
      </c>
      <c r="D66" s="7">
        <f>VLOOKUP(A66,'[1]dollar (3)'!$A$1:$E$169,2,FALSE)</f>
        <v>98.94</v>
      </c>
      <c r="E66" s="8">
        <f>VLOOKUP(A66,'[1]CBOE Gold Volatitity Historical'!$A$1:$F$169,2,FALSE)</f>
        <v>11.82</v>
      </c>
      <c r="F66">
        <f>VLOOKUP(A66,'[1]CBOE Gold Volatitity Historical'!$A$1:$F$169,3,FALSE)</f>
        <v>11.6</v>
      </c>
    </row>
    <row r="67" spans="1:6">
      <c r="A67" s="9">
        <v>42887</v>
      </c>
      <c r="B67" s="10">
        <v>1242.3</v>
      </c>
      <c r="C67" s="10">
        <v>1268</v>
      </c>
      <c r="D67" s="11">
        <f>VLOOKUP(A67,'[1]dollar (3)'!$A$1:$E$169,2,FALSE)</f>
        <v>96.99</v>
      </c>
      <c r="E67" s="8">
        <f>VLOOKUP(A67,'[1]CBOE Gold Volatitity Historical'!$A$1:$F$169,2,FALSE)</f>
        <v>11</v>
      </c>
      <c r="F67">
        <f>VLOOKUP(A67,'[1]CBOE Gold Volatitity Historical'!$A$1:$F$169,3,FALSE)</f>
        <v>11.91</v>
      </c>
    </row>
    <row r="68" spans="1:6">
      <c r="A68" s="5">
        <v>42917</v>
      </c>
      <c r="B68" s="6">
        <v>1279.4000000000001</v>
      </c>
      <c r="C68" s="6">
        <v>1220.0999999999999</v>
      </c>
      <c r="D68" s="7">
        <f>VLOOKUP(A68,'[1]dollar (3)'!$A$1:$E$169,2,FALSE)</f>
        <v>95.64</v>
      </c>
      <c r="E68" s="8">
        <f>VLOOKUP(A68,'[1]CBOE Gold Volatitity Historical'!$A$1:$F$169,2,FALSE)</f>
        <v>11.61</v>
      </c>
      <c r="F68">
        <f>VLOOKUP(A68,'[1]CBOE Gold Volatitity Historical'!$A$1:$F$169,3,FALSE)</f>
        <v>11.6</v>
      </c>
    </row>
    <row r="69" spans="1:6">
      <c r="A69" s="9">
        <v>42948</v>
      </c>
      <c r="B69" s="10">
        <v>1330.4</v>
      </c>
      <c r="C69" s="10">
        <v>1275.2</v>
      </c>
      <c r="D69" s="11">
        <f>VLOOKUP(A69,'[1]dollar (3)'!$A$1:$E$169,2,FALSE)</f>
        <v>92.89</v>
      </c>
      <c r="E69" s="8">
        <f>VLOOKUP(A69,'[1]CBOE Gold Volatitity Historical'!$A$1:$F$169,2,FALSE)</f>
        <v>13.26</v>
      </c>
      <c r="F69">
        <f>VLOOKUP(A69,'[1]CBOE Gold Volatitity Historical'!$A$1:$F$169,3,FALSE)</f>
        <v>11.61</v>
      </c>
    </row>
    <row r="70" spans="1:6">
      <c r="A70" s="5">
        <v>42979</v>
      </c>
      <c r="B70" s="6">
        <v>1284.8</v>
      </c>
      <c r="C70" s="6">
        <v>1345</v>
      </c>
      <c r="D70" s="7">
        <f>VLOOKUP(A70,'[1]dollar (3)'!$A$1:$E$169,2,FALSE)</f>
        <v>93.47</v>
      </c>
      <c r="E70" s="8">
        <f>VLOOKUP(A70,'[1]CBOE Gold Volatitity Historical'!$A$1:$F$169,2,FALSE)</f>
        <v>11.77</v>
      </c>
      <c r="F70">
        <f>VLOOKUP(A70,'[1]CBOE Gold Volatitity Historical'!$A$1:$F$169,3,FALSE)</f>
        <v>13.23</v>
      </c>
    </row>
    <row r="71" spans="1:6">
      <c r="A71" s="9">
        <v>43009</v>
      </c>
      <c r="B71" s="10">
        <v>1277.3</v>
      </c>
      <c r="C71" s="10">
        <v>1273.0999999999999</v>
      </c>
      <c r="D71" s="11">
        <f>VLOOKUP(A71,'[1]dollar (3)'!$A$1:$E$169,2,FALSE)</f>
        <v>93.29</v>
      </c>
      <c r="E71" s="8">
        <f>VLOOKUP(A71,'[1]CBOE Gold Volatitity Historical'!$A$1:$F$169,2,FALSE)</f>
        <v>11.81</v>
      </c>
      <c r="F71">
        <f>VLOOKUP(A71,'[1]CBOE Gold Volatitity Historical'!$A$1:$F$169,3,FALSE)</f>
        <v>11.72</v>
      </c>
    </row>
    <row r="72" spans="1:6">
      <c r="A72" s="5">
        <v>43040</v>
      </c>
      <c r="B72" s="6">
        <v>1282.3</v>
      </c>
      <c r="C72" s="6">
        <v>1275.2</v>
      </c>
      <c r="D72" s="7">
        <f>VLOOKUP(A72,'[1]dollar (3)'!$A$1:$E$169,2,FALSE)</f>
        <v>94.55</v>
      </c>
      <c r="E72" s="8">
        <f>VLOOKUP(A72,'[1]CBOE Gold Volatitity Historical'!$A$1:$F$169,2,FALSE)</f>
        <v>11.79</v>
      </c>
      <c r="F72">
        <f>VLOOKUP(A72,'[1]CBOE Gold Volatitity Historical'!$A$1:$F$169,3,FALSE)</f>
        <v>11.81</v>
      </c>
    </row>
    <row r="73" spans="1:6">
      <c r="A73" s="9">
        <v>43070</v>
      </c>
      <c r="B73" s="10">
        <v>1309.3</v>
      </c>
      <c r="C73" s="10">
        <v>1279.0999999999999</v>
      </c>
      <c r="D73" s="11">
        <f>VLOOKUP(A73,'[1]dollar (3)'!$A$1:$E$169,2,FALSE)</f>
        <v>93.03</v>
      </c>
      <c r="E73" s="8">
        <f>VLOOKUP(A73,'[1]CBOE Gold Volatitity Historical'!$A$1:$F$169,2,FALSE)</f>
        <v>10.96</v>
      </c>
      <c r="F73">
        <f>VLOOKUP(A73,'[1]CBOE Gold Volatitity Historical'!$A$1:$F$169,3,FALSE)</f>
        <v>11.79</v>
      </c>
    </row>
    <row r="74" spans="1:6">
      <c r="A74" s="5">
        <v>43101</v>
      </c>
      <c r="B74" s="6">
        <v>1347.9</v>
      </c>
      <c r="C74" s="6">
        <v>1319</v>
      </c>
      <c r="D74" s="7">
        <f>VLOOKUP(A74,'[1]dollar (3)'!$A$1:$E$169,2,FALSE)</f>
        <v>92.67</v>
      </c>
      <c r="E74" s="8">
        <f>VLOOKUP(A74,'[1]CBOE Gold Volatitity Historical'!$A$1:$F$169,2,FALSE)</f>
        <v>12.97</v>
      </c>
      <c r="F74">
        <f>VLOOKUP(A74,'[1]CBOE Gold Volatitity Historical'!$A$1:$F$169,3,FALSE)</f>
        <v>11.66</v>
      </c>
    </row>
    <row r="75" spans="1:6">
      <c r="A75" s="9">
        <v>43132</v>
      </c>
      <c r="B75" s="10">
        <v>1305.2</v>
      </c>
      <c r="C75" s="10">
        <v>1352.2</v>
      </c>
      <c r="D75" s="11">
        <f>VLOOKUP(A75,'[1]dollar (3)'!$A$1:$E$169,2,FALSE)</f>
        <v>89.04</v>
      </c>
      <c r="E75" s="8">
        <f>VLOOKUP(A75,'[1]CBOE Gold Volatitity Historical'!$A$1:$F$169,2,FALSE)</f>
        <v>11.74</v>
      </c>
      <c r="F75">
        <f>VLOOKUP(A75,'[1]CBOE Gold Volatitity Historical'!$A$1:$F$169,3,FALSE)</f>
        <v>12.97</v>
      </c>
    </row>
    <row r="76" spans="1:6">
      <c r="A76" s="5">
        <v>43160</v>
      </c>
      <c r="B76" s="6">
        <v>1327.3</v>
      </c>
      <c r="C76" s="6">
        <v>1318</v>
      </c>
      <c r="D76" s="7">
        <f>VLOOKUP(A76,'[1]dollar (3)'!$A$1:$E$169,2,FALSE)</f>
        <v>90.67</v>
      </c>
      <c r="E76" s="8">
        <f>VLOOKUP(A76,'[1]CBOE Gold Volatitity Historical'!$A$1:$F$169,2,FALSE)</f>
        <v>11.06</v>
      </c>
      <c r="F76">
        <f>VLOOKUP(A76,'[1]CBOE Gold Volatitity Historical'!$A$1:$F$169,3,FALSE)</f>
        <v>11.74</v>
      </c>
    </row>
    <row r="77" spans="1:6">
      <c r="A77" s="9">
        <v>43191</v>
      </c>
      <c r="B77" s="10">
        <v>1306.8</v>
      </c>
      <c r="C77" s="10">
        <v>1345</v>
      </c>
      <c r="D77" s="11">
        <f>VLOOKUP(A77,'[1]dollar (3)'!$A$1:$E$169,2,FALSE)</f>
        <v>89.97</v>
      </c>
      <c r="E77" s="8">
        <f>VLOOKUP(A77,'[1]CBOE Gold Volatitity Historical'!$A$1:$F$169,2,FALSE)</f>
        <v>11.15</v>
      </c>
      <c r="F77">
        <f>VLOOKUP(A77,'[1]CBOE Gold Volatitity Historical'!$A$1:$F$169,3,FALSE)</f>
        <v>12.13</v>
      </c>
    </row>
    <row r="78" spans="1:6">
      <c r="A78" s="5">
        <v>43221</v>
      </c>
      <c r="B78" s="6">
        <v>1299.3</v>
      </c>
      <c r="C78" s="6">
        <v>1304.4000000000001</v>
      </c>
      <c r="D78" s="7">
        <f>VLOOKUP(A78,'[1]dollar (3)'!$A$1:$E$169,2,FALSE)</f>
        <v>91.81</v>
      </c>
      <c r="E78" s="8">
        <f>VLOOKUP(A78,'[1]CBOE Gold Volatitity Historical'!$A$1:$F$169,2,FALSE)</f>
        <v>10.92</v>
      </c>
      <c r="F78">
        <f>VLOOKUP(A78,'[1]CBOE Gold Volatitity Historical'!$A$1:$F$169,3,FALSE)</f>
        <v>11.15</v>
      </c>
    </row>
    <row r="79" spans="1:6">
      <c r="A79" s="9">
        <v>43252</v>
      </c>
      <c r="B79" s="10">
        <v>1254.5</v>
      </c>
      <c r="C79" s="10">
        <v>1296.4000000000001</v>
      </c>
      <c r="D79" s="11">
        <f>VLOOKUP(A79,'[1]dollar (3)'!$A$1:$E$169,2,FALSE)</f>
        <v>94.07</v>
      </c>
      <c r="E79" s="8">
        <f>VLOOKUP(A79,'[1]CBOE Gold Volatitity Historical'!$A$1:$F$169,2,FALSE)</f>
        <v>10.75</v>
      </c>
      <c r="F79">
        <f>VLOOKUP(A79,'[1]CBOE Gold Volatitity Historical'!$A$1:$F$169,3,FALSE)</f>
        <v>10.72</v>
      </c>
    </row>
    <row r="80" spans="1:6">
      <c r="A80" s="5">
        <v>43282</v>
      </c>
      <c r="B80" s="6">
        <v>1227.5999999999999</v>
      </c>
      <c r="C80" s="6">
        <v>1242.9000000000001</v>
      </c>
      <c r="D80" s="7">
        <f>VLOOKUP(A80,'[1]dollar (3)'!$A$1:$E$169,2,FALSE)</f>
        <v>94.63</v>
      </c>
      <c r="E80" s="8">
        <f>VLOOKUP(A80,'[1]CBOE Gold Volatitity Historical'!$A$1:$F$169,2,FALSE)</f>
        <v>11.21</v>
      </c>
      <c r="F80">
        <f>VLOOKUP(A80,'[1]CBOE Gold Volatitity Historical'!$A$1:$F$169,3,FALSE)</f>
        <v>11.32</v>
      </c>
    </row>
    <row r="81" spans="1:6">
      <c r="A81" s="9">
        <v>43313</v>
      </c>
      <c r="B81" s="10">
        <v>1206.7</v>
      </c>
      <c r="C81" s="10">
        <v>1224.7</v>
      </c>
      <c r="D81" s="11">
        <f>VLOOKUP(A81,'[1]dollar (3)'!$A$1:$E$169,2,FALSE)</f>
        <v>94.56</v>
      </c>
      <c r="E81" s="8">
        <f>VLOOKUP(A81,'[1]CBOE Gold Volatitity Historical'!$A$1:$F$169,2,FALSE)</f>
        <v>10.96</v>
      </c>
      <c r="F81">
        <f>VLOOKUP(A81,'[1]CBOE Gold Volatitity Historical'!$A$1:$F$169,3,FALSE)</f>
        <v>11.21</v>
      </c>
    </row>
    <row r="82" spans="1:6">
      <c r="A82" s="5">
        <v>43344</v>
      </c>
      <c r="B82" s="6">
        <v>1196.2</v>
      </c>
      <c r="C82" s="6">
        <v>1197.2</v>
      </c>
      <c r="D82" s="7">
        <f>VLOOKUP(A82,'[1]dollar (3)'!$A$1:$E$169,2,FALSE)</f>
        <v>94.7</v>
      </c>
      <c r="E82" s="8">
        <f>VLOOKUP(A82,'[1]CBOE Gold Volatitity Historical'!$A$1:$F$169,2,FALSE)</f>
        <v>10.74</v>
      </c>
      <c r="F82">
        <f>VLOOKUP(A82,'[1]CBOE Gold Volatitity Historical'!$A$1:$F$169,3,FALSE)</f>
        <v>11.6</v>
      </c>
    </row>
    <row r="83" spans="1:6">
      <c r="A83" s="9">
        <v>43374</v>
      </c>
      <c r="B83" s="10">
        <v>1238.5999999999999</v>
      </c>
      <c r="C83" s="10">
        <v>1192.7</v>
      </c>
      <c r="D83" s="11">
        <f>VLOOKUP(A83,'[1]dollar (3)'!$A$1:$E$169,2,FALSE)</f>
        <v>96.99</v>
      </c>
      <c r="E83" s="8">
        <f>VLOOKUP(A83,'[1]CBOE Gold Volatitity Historical'!$A$1:$F$169,2,FALSE)</f>
        <v>12.08</v>
      </c>
      <c r="F83">
        <f>VLOOKUP(A83,'[1]CBOE Gold Volatitity Historical'!$A$1:$F$169,3,FALSE)</f>
        <v>11.06</v>
      </c>
    </row>
    <row r="84" spans="1:6">
      <c r="A84" s="5">
        <v>43405</v>
      </c>
      <c r="B84" s="6">
        <v>1226</v>
      </c>
      <c r="C84" s="6">
        <v>1235.3</v>
      </c>
      <c r="D84" s="7">
        <f>VLOOKUP(A84,'[1]dollar (3)'!$A$1:$E$169,2,FALSE)</f>
        <v>97.08</v>
      </c>
      <c r="E84" s="8">
        <f>VLOOKUP(A84,'[1]CBOE Gold Volatitity Historical'!$A$1:$F$169,2,FALSE)</f>
        <v>11.26</v>
      </c>
      <c r="F84">
        <f>VLOOKUP(A84,'[1]CBOE Gold Volatitity Historical'!$A$1:$F$169,3,FALSE)</f>
        <v>12.95</v>
      </c>
    </row>
    <row r="85" spans="1:6">
      <c r="A85" s="9">
        <v>43435</v>
      </c>
      <c r="B85" s="10">
        <v>1283</v>
      </c>
      <c r="C85" s="10">
        <v>1236.3</v>
      </c>
      <c r="D85" s="11">
        <f>VLOOKUP(A85,'[1]dollar (3)'!$A$1:$E$169,2,FALSE)</f>
        <v>97.13</v>
      </c>
      <c r="E85" s="8">
        <f>VLOOKUP(A85,'[1]CBOE Gold Volatitity Historical'!$A$1:$F$169,2,FALSE)</f>
        <v>13.48</v>
      </c>
      <c r="F85">
        <f>VLOOKUP(A85,'[1]CBOE Gold Volatitity Historical'!$A$1:$F$169,3,FALSE)</f>
        <v>11.53</v>
      </c>
    </row>
    <row r="86" spans="1:6">
      <c r="A86" s="5">
        <v>43466</v>
      </c>
      <c r="B86" s="6">
        <v>1322.1</v>
      </c>
      <c r="C86" s="6">
        <v>1288.5</v>
      </c>
      <c r="D86" s="7">
        <f>VLOOKUP(A86,'[1]dollar (3)'!$A$1:$E$169,2,FALSE)</f>
        <v>96.4</v>
      </c>
      <c r="E86" s="8">
        <f>VLOOKUP(A86,'[1]CBOE Gold Volatitity Historical'!$A$1:$F$169,2,FALSE)</f>
        <v>10.74</v>
      </c>
      <c r="F86">
        <f>VLOOKUP(A86,'[1]CBOE Gold Volatitity Historical'!$A$1:$F$169,3,FALSE)</f>
        <v>13.51</v>
      </c>
    </row>
    <row r="87" spans="1:6">
      <c r="A87" s="9">
        <v>43497</v>
      </c>
      <c r="B87" s="10">
        <v>1299.2</v>
      </c>
      <c r="C87" s="10">
        <v>1316.8</v>
      </c>
      <c r="D87" s="11">
        <f>VLOOKUP(A87,'[1]dollar (3)'!$A$1:$E$169,2,FALSE)</f>
        <v>95.55</v>
      </c>
      <c r="E87" s="8">
        <f>VLOOKUP(A87,'[1]CBOE Gold Volatitity Historical'!$A$1:$F$169,2,FALSE)</f>
        <v>9.52</v>
      </c>
      <c r="F87">
        <f>VLOOKUP(A87,'[1]CBOE Gold Volatitity Historical'!$A$1:$F$169,3,FALSE)</f>
        <v>10.74</v>
      </c>
    </row>
    <row r="88" spans="1:6">
      <c r="A88" s="5">
        <v>43525</v>
      </c>
      <c r="B88" s="6">
        <v>1298.5</v>
      </c>
      <c r="C88" s="6">
        <v>1287.8</v>
      </c>
      <c r="D88" s="7">
        <f>VLOOKUP(A88,'[1]dollar (3)'!$A$1:$E$169,2,FALSE)</f>
        <v>96.22</v>
      </c>
      <c r="E88" s="8">
        <f>VLOOKUP(A88,'[1]CBOE Gold Volatitity Historical'!$A$1:$F$169,2,FALSE)</f>
        <v>9.94</v>
      </c>
      <c r="F88">
        <f>VLOOKUP(A88,'[1]CBOE Gold Volatitity Historical'!$A$1:$F$169,3,FALSE)</f>
        <v>9.5500000000000007</v>
      </c>
    </row>
    <row r="89" spans="1:6">
      <c r="A89" s="9">
        <v>43556</v>
      </c>
      <c r="B89" s="10">
        <v>1284.2</v>
      </c>
      <c r="C89" s="10">
        <v>1292.2</v>
      </c>
      <c r="D89" s="11">
        <f>VLOOKUP(A89,'[1]dollar (3)'!$A$1:$E$169,2,FALSE)</f>
        <v>97.18</v>
      </c>
      <c r="E89" s="8">
        <f>VLOOKUP(A89,'[1]CBOE Gold Volatitity Historical'!$A$1:$F$169,2,FALSE)</f>
        <v>9.32</v>
      </c>
      <c r="F89">
        <f>VLOOKUP(A89,'[1]CBOE Gold Volatitity Historical'!$A$1:$F$169,3,FALSE)</f>
        <v>10.34</v>
      </c>
    </row>
    <row r="90" spans="1:6">
      <c r="A90" s="5">
        <v>43586</v>
      </c>
      <c r="B90" s="6">
        <v>1311.1</v>
      </c>
      <c r="C90" s="6">
        <v>1278.5</v>
      </c>
      <c r="D90" s="7">
        <f>VLOOKUP(A90,'[1]dollar (3)'!$A$1:$E$169,2,FALSE)</f>
        <v>97.53</v>
      </c>
      <c r="E90" s="8">
        <f>VLOOKUP(A90,'[1]CBOE Gold Volatitity Historical'!$A$1:$F$169,2,FALSE)</f>
        <v>10.33</v>
      </c>
      <c r="F90">
        <f>VLOOKUP(A90,'[1]CBOE Gold Volatitity Historical'!$A$1:$F$169,3,FALSE)</f>
        <v>9.34</v>
      </c>
    </row>
    <row r="91" spans="1:6">
      <c r="A91" s="9">
        <v>43617</v>
      </c>
      <c r="B91" s="10">
        <v>1413.7</v>
      </c>
      <c r="C91" s="10">
        <v>1329.7</v>
      </c>
      <c r="D91" s="11">
        <f>VLOOKUP(A91,'[1]dollar (3)'!$A$1:$E$169,2,FALSE)</f>
        <v>97.64</v>
      </c>
      <c r="E91" s="8">
        <f>VLOOKUP(A91,'[1]CBOE Gold Volatitity Historical'!$A$1:$F$169,2,FALSE)</f>
        <v>15.99</v>
      </c>
      <c r="F91">
        <f>VLOOKUP(A91,'[1]CBOE Gold Volatitity Historical'!$A$1:$F$169,3,FALSE)</f>
        <v>10.83</v>
      </c>
    </row>
    <row r="92" spans="1:6">
      <c r="A92" s="5">
        <v>43647</v>
      </c>
      <c r="B92" s="6">
        <v>1432.4</v>
      </c>
      <c r="C92" s="6">
        <v>1386.2</v>
      </c>
      <c r="D92" s="7">
        <f>VLOOKUP(A92,'[1]dollar (3)'!$A$1:$E$169,2,FALSE)</f>
        <v>96.25</v>
      </c>
      <c r="E92" s="8">
        <f>VLOOKUP(A92,'[1]CBOE Gold Volatitity Historical'!$A$1:$F$169,2,FALSE)</f>
        <v>13.21</v>
      </c>
      <c r="F92">
        <f>VLOOKUP(A92,'[1]CBOE Gold Volatitity Historical'!$A$1:$F$169,3,FALSE)</f>
        <v>15.2</v>
      </c>
    </row>
    <row r="93" spans="1:6">
      <c r="A93" s="9">
        <v>43678</v>
      </c>
      <c r="B93" s="10">
        <v>1529.4</v>
      </c>
      <c r="C93" s="10">
        <v>1457.5</v>
      </c>
      <c r="D93" s="11">
        <f>VLOOKUP(A93,'[1]dollar (3)'!$A$1:$E$169,2,FALSE)</f>
        <v>98.59</v>
      </c>
      <c r="E93" s="8">
        <f>VLOOKUP(A93,'[1]CBOE Gold Volatitity Historical'!$A$1:$F$169,2,FALSE)</f>
        <v>15.45</v>
      </c>
      <c r="F93">
        <f>VLOOKUP(A93,'[1]CBOE Gold Volatitity Historical'!$A$1:$F$169,3,FALSE)</f>
        <v>11.93</v>
      </c>
    </row>
    <row r="94" spans="1:6">
      <c r="A94" s="5">
        <v>43709</v>
      </c>
      <c r="B94" s="6">
        <v>1489</v>
      </c>
      <c r="C94" s="6">
        <v>1556</v>
      </c>
      <c r="D94" s="7">
        <f>VLOOKUP(A94,'[1]dollar (3)'!$A$1:$E$169,2,FALSE)</f>
        <v>98.83</v>
      </c>
      <c r="E94" s="8">
        <f>VLOOKUP(A94,'[1]CBOE Gold Volatitity Historical'!$A$1:$F$169,2,FALSE)</f>
        <v>15.37</v>
      </c>
      <c r="F94">
        <f>VLOOKUP(A94,'[1]CBOE Gold Volatitity Historical'!$A$1:$F$169,3,FALSE)</f>
        <v>16.66</v>
      </c>
    </row>
    <row r="95" spans="1:6">
      <c r="A95" s="9">
        <v>43739</v>
      </c>
      <c r="B95" s="10">
        <v>1511.4</v>
      </c>
      <c r="C95" s="10">
        <v>1485.4</v>
      </c>
      <c r="D95" s="11">
        <f>VLOOKUP(A95,'[1]dollar (3)'!$A$1:$E$169,2,FALSE)</f>
        <v>97.67</v>
      </c>
      <c r="E95" s="8">
        <f>VLOOKUP(A95,'[1]CBOE Gold Volatitity Historical'!$A$1:$F$169,2,FALSE)</f>
        <v>13.39</v>
      </c>
      <c r="F95">
        <f>VLOOKUP(A95,'[1]CBOE Gold Volatitity Historical'!$A$1:$F$169,3,FALSE)</f>
        <v>15.31</v>
      </c>
    </row>
    <row r="96" spans="1:6">
      <c r="A96" s="5">
        <v>43770</v>
      </c>
      <c r="B96" s="6">
        <v>1472.7</v>
      </c>
      <c r="C96" s="6">
        <v>1511.6</v>
      </c>
      <c r="D96" s="7">
        <f>VLOOKUP(A96,'[1]dollar (3)'!$A$1:$E$169,2,FALSE)</f>
        <v>97.3</v>
      </c>
      <c r="E96" s="8">
        <f>VLOOKUP(A96,'[1]CBOE Gold Volatitity Historical'!$A$1:$F$169,2,FALSE)</f>
        <v>10.71</v>
      </c>
      <c r="F96">
        <f>VLOOKUP(A96,'[1]CBOE Gold Volatitity Historical'!$A$1:$F$169,3,FALSE)</f>
        <v>13</v>
      </c>
    </row>
    <row r="97" spans="1:6">
      <c r="A97" s="9">
        <v>43800</v>
      </c>
      <c r="B97" s="10">
        <v>1523.1</v>
      </c>
      <c r="C97" s="10">
        <v>1468</v>
      </c>
      <c r="D97" s="11">
        <f>VLOOKUP(A97,'[1]dollar (3)'!$A$1:$E$169,2,FALSE)</f>
        <v>98.27</v>
      </c>
      <c r="E97" s="8">
        <f>VLOOKUP(A97,'[1]CBOE Gold Volatitity Historical'!$A$1:$F$169,2,FALSE)</f>
        <v>12.63</v>
      </c>
      <c r="F97">
        <f>VLOOKUP(A97,'[1]CBOE Gold Volatitity Historical'!$A$1:$F$169,3,FALSE)</f>
        <v>10.58</v>
      </c>
    </row>
    <row r="98" spans="1:6">
      <c r="A98" s="5">
        <v>43831</v>
      </c>
      <c r="B98" s="6">
        <v>1552.4</v>
      </c>
      <c r="C98" s="6">
        <v>1531.7</v>
      </c>
      <c r="D98" s="7">
        <f>VLOOKUP(A98,'[1]dollar (3)'!$A$1:$E$169,2,FALSE)</f>
        <v>96.5</v>
      </c>
      <c r="E98" s="8">
        <f>VLOOKUP(A98,'[1]CBOE Gold Volatitity Historical'!$A$1:$F$169,2,FALSE)</f>
        <v>13.5</v>
      </c>
      <c r="F98">
        <f>VLOOKUP(A98,'[1]CBOE Gold Volatitity Historical'!$A$1:$F$169,3,FALSE)</f>
        <v>12.63</v>
      </c>
    </row>
    <row r="99" spans="1:6">
      <c r="A99" s="9">
        <v>43862</v>
      </c>
      <c r="B99" s="10">
        <v>1566.7</v>
      </c>
      <c r="C99" s="10">
        <v>1597.8</v>
      </c>
      <c r="D99" s="11">
        <f>VLOOKUP(A99,'[1]dollar (3)'!$A$1:$E$169,2,FALSE)</f>
        <v>97.37</v>
      </c>
      <c r="E99" s="8">
        <f>VLOOKUP(A99,'[1]CBOE Gold Volatitity Historical'!$A$1:$F$169,2,FALSE)</f>
        <v>21.27</v>
      </c>
      <c r="F99">
        <f>VLOOKUP(A99,'[1]CBOE Gold Volatitity Historical'!$A$1:$F$169,3,FALSE)</f>
        <v>13.5</v>
      </c>
    </row>
    <row r="100" spans="1:6">
      <c r="A100" s="5">
        <v>43891</v>
      </c>
      <c r="B100" s="6">
        <v>1596.6</v>
      </c>
      <c r="C100" s="6">
        <v>1592.8</v>
      </c>
      <c r="D100" s="7">
        <f>VLOOKUP(A100,'[1]dollar (3)'!$A$1:$E$169,2,FALSE)</f>
        <v>98.12</v>
      </c>
      <c r="E100" s="8">
        <f>VLOOKUP(A100,'[1]CBOE Gold Volatitity Historical'!$A$1:$F$169,2,FALSE)</f>
        <v>29.19</v>
      </c>
      <c r="F100">
        <f>VLOOKUP(A100,'[1]CBOE Gold Volatitity Historical'!$A$1:$F$169,3,FALSE)</f>
        <v>20.87</v>
      </c>
    </row>
    <row r="101" spans="1:6">
      <c r="A101" s="9">
        <v>43922</v>
      </c>
      <c r="B101" s="10">
        <v>1694.2</v>
      </c>
      <c r="C101" s="10">
        <v>1589.4</v>
      </c>
      <c r="D101" s="11">
        <f>VLOOKUP(A101,'[1]dollar (3)'!$A$1:$E$169,2,FALSE)</f>
        <v>99.01</v>
      </c>
      <c r="E101" s="8">
        <f>VLOOKUP(A101,'[1]CBOE Gold Volatitity Historical'!$A$1:$F$169,2,FALSE)</f>
        <v>24.24</v>
      </c>
      <c r="F101">
        <f>VLOOKUP(A101,'[1]CBOE Gold Volatitity Historical'!$A$1:$F$169,3,FALSE)</f>
        <v>29.68</v>
      </c>
    </row>
    <row r="102" spans="1:6">
      <c r="A102" s="5">
        <v>43952</v>
      </c>
      <c r="B102" s="6">
        <v>1751.7</v>
      </c>
      <c r="C102" s="6">
        <v>1693.5</v>
      </c>
      <c r="D102" s="7">
        <f>VLOOKUP(A102,'[1]dollar (3)'!$A$1:$E$169,2,FALSE)</f>
        <v>99.13</v>
      </c>
      <c r="E102" s="8">
        <f>VLOOKUP(A102,'[1]CBOE Gold Volatitity Historical'!$A$1:$F$169,2,FALSE)</f>
        <v>18.149999999999999</v>
      </c>
      <c r="F102">
        <f>VLOOKUP(A102,'[1]CBOE Gold Volatitity Historical'!$A$1:$F$169,3,FALSE)</f>
        <v>24.24</v>
      </c>
    </row>
    <row r="103" spans="1:6">
      <c r="A103" s="9">
        <v>43983</v>
      </c>
      <c r="B103" s="10">
        <v>1800.5</v>
      </c>
      <c r="C103" s="10">
        <v>1749.8</v>
      </c>
      <c r="D103" s="11">
        <f>VLOOKUP(A103,'[1]dollar (3)'!$A$1:$E$169,2,FALSE)</f>
        <v>98.3</v>
      </c>
      <c r="E103" s="8">
        <f>VLOOKUP(A103,'[1]CBOE Gold Volatitity Historical'!$A$1:$F$169,2,FALSE)</f>
        <v>19.649999999999999</v>
      </c>
      <c r="F103">
        <f>VLOOKUP(A103,'[1]CBOE Gold Volatitity Historical'!$A$1:$F$169,3,FALSE)</f>
        <v>18.86</v>
      </c>
    </row>
    <row r="104" spans="1:6">
      <c r="A104" s="5">
        <v>44013</v>
      </c>
      <c r="B104" s="6">
        <v>1985.9</v>
      </c>
      <c r="C104" s="6">
        <v>1798.9</v>
      </c>
      <c r="D104" s="7">
        <f>VLOOKUP(A104,'[1]dollar (3)'!$A$1:$E$169,2,FALSE)</f>
        <v>97.39</v>
      </c>
      <c r="E104" s="8">
        <f>VLOOKUP(A104,'[1]CBOE Gold Volatitity Historical'!$A$1:$F$169,2,FALSE)</f>
        <v>24.46</v>
      </c>
      <c r="F104">
        <f>VLOOKUP(A104,'[1]CBOE Gold Volatitity Historical'!$A$1:$F$169,3,FALSE)</f>
        <v>19.649999999999999</v>
      </c>
    </row>
    <row r="105" spans="1:6">
      <c r="A105" s="9">
        <v>44044</v>
      </c>
      <c r="B105" s="10">
        <v>1978.6</v>
      </c>
      <c r="C105" s="10">
        <v>1997.4</v>
      </c>
      <c r="D105" s="11">
        <f>VLOOKUP(A105,'[1]dollar (3)'!$A$1:$E$169,2,FALSE)</f>
        <v>93.46</v>
      </c>
      <c r="E105" s="8">
        <f>VLOOKUP(A105,'[1]CBOE Gold Volatitity Historical'!$A$1:$F$169,2,FALSE)</f>
        <v>24.32</v>
      </c>
      <c r="F105">
        <f>VLOOKUP(A105,'[1]CBOE Gold Volatitity Historical'!$A$1:$F$169,3,FALSE)</f>
        <v>24.46</v>
      </c>
    </row>
    <row r="106" spans="1:6">
      <c r="A106" s="5">
        <v>44075</v>
      </c>
      <c r="B106" s="6">
        <v>1895.5</v>
      </c>
      <c r="C106" s="6">
        <v>1973.7</v>
      </c>
      <c r="D106" s="7">
        <f>VLOOKUP(A106,'[1]dollar (3)'!$A$1:$E$169,2,FALSE)</f>
        <v>92.18</v>
      </c>
      <c r="E106" s="8">
        <f>VLOOKUP(A106,'[1]CBOE Gold Volatitity Historical'!$A$1:$F$169,2,FALSE)</f>
        <v>22.07</v>
      </c>
      <c r="F106">
        <f>VLOOKUP(A106,'[1]CBOE Gold Volatitity Historical'!$A$1:$F$169,3,FALSE)</f>
        <v>24.32</v>
      </c>
    </row>
    <row r="107" spans="1:6">
      <c r="A107" s="9">
        <v>44105</v>
      </c>
      <c r="B107" s="10">
        <v>1879.9</v>
      </c>
      <c r="C107" s="10">
        <v>1891.2</v>
      </c>
      <c r="D107" s="11">
        <f>VLOOKUP(A107,'[1]dollar (3)'!$A$1:$E$169,2,FALSE)</f>
        <v>93.46</v>
      </c>
      <c r="E107" s="8">
        <f>VLOOKUP(A107,'[1]CBOE Gold Volatitity Historical'!$A$1:$F$169,2,FALSE)</f>
        <v>23.26</v>
      </c>
      <c r="F107">
        <f>VLOOKUP(A107,'[1]CBOE Gold Volatitity Historical'!$A$1:$F$169,3,FALSE)</f>
        <v>22.07</v>
      </c>
    </row>
    <row r="108" spans="1:6">
      <c r="A108" s="5">
        <v>44136</v>
      </c>
      <c r="B108" s="6">
        <v>1780.9</v>
      </c>
      <c r="C108" s="6">
        <v>1877</v>
      </c>
      <c r="D108" s="7">
        <f>VLOOKUP(A108,'[1]dollar (3)'!$A$1:$E$169,2,FALSE)</f>
        <v>93.89</v>
      </c>
      <c r="E108" s="8">
        <f>VLOOKUP(A108,'[1]CBOE Gold Volatitity Historical'!$A$1:$F$169,2,FALSE)</f>
        <v>19.690000000000001</v>
      </c>
      <c r="F108">
        <f>VLOOKUP(A108,'[1]CBOE Gold Volatitity Historical'!$A$1:$F$169,3,FALSE)</f>
        <v>23.26</v>
      </c>
    </row>
    <row r="109" spans="1:6">
      <c r="A109" s="9">
        <v>44166</v>
      </c>
      <c r="B109" s="10">
        <v>1895.1</v>
      </c>
      <c r="C109" s="10">
        <v>1780.3</v>
      </c>
      <c r="D109" s="11">
        <f>VLOOKUP(A109,'[1]dollar (3)'!$A$1:$E$169,2,FALSE)</f>
        <v>91.95</v>
      </c>
      <c r="E109" s="8">
        <f>VLOOKUP(A109,'[1]CBOE Gold Volatitity Historical'!$A$1:$F$169,2,FALSE)</f>
        <v>20.79</v>
      </c>
      <c r="F109">
        <f>VLOOKUP(A109,'[1]CBOE Gold Volatitity Historical'!$A$1:$F$169,3,FALSE)</f>
        <v>19.760000000000002</v>
      </c>
    </row>
    <row r="110" spans="1:6">
      <c r="A110" s="5">
        <v>44197</v>
      </c>
      <c r="B110" s="6">
        <v>1850.3</v>
      </c>
      <c r="C110" s="6">
        <v>1908.2</v>
      </c>
      <c r="D110" s="7">
        <f>VLOOKUP(A110,'[1]dollar (3)'!$A$1:$E$169,2,FALSE)</f>
        <v>89.93</v>
      </c>
      <c r="E110" s="8">
        <f>VLOOKUP(A110,'[1]CBOE Gold Volatitity Historical'!$A$1:$F$169,2,FALSE)</f>
        <v>20.64</v>
      </c>
      <c r="F110">
        <f>VLOOKUP(A110,'[1]CBOE Gold Volatitity Historical'!$A$1:$F$169,3,FALSE)</f>
        <v>22.09</v>
      </c>
    </row>
    <row r="111" spans="1:6">
      <c r="A111" s="9">
        <v>44228</v>
      </c>
      <c r="B111" s="10">
        <v>1728.8</v>
      </c>
      <c r="C111" s="10">
        <v>1865</v>
      </c>
      <c r="D111" s="11">
        <f>VLOOKUP(A111,'[1]dollar (3)'!$A$1:$E$169,2,FALSE)</f>
        <v>90.53</v>
      </c>
      <c r="E111" s="8">
        <f>VLOOKUP(A111,'[1]CBOE Gold Volatitity Historical'!$A$1:$F$169,2,FALSE)</f>
        <v>21.08</v>
      </c>
      <c r="F111">
        <f>VLOOKUP(A111,'[1]CBOE Gold Volatitity Historical'!$A$1:$F$169,3,FALSE)</f>
        <v>23.52</v>
      </c>
    </row>
    <row r="112" spans="1:6">
      <c r="A112" s="5">
        <v>44256</v>
      </c>
      <c r="B112" s="6">
        <v>1715.6</v>
      </c>
      <c r="C112" s="6">
        <v>1732.8</v>
      </c>
      <c r="D112" s="7">
        <f>VLOOKUP(A112,'[1]dollar (3)'!$A$1:$E$169,2,FALSE)</f>
        <v>90.93</v>
      </c>
      <c r="E112" s="8">
        <f>VLOOKUP(A112,'[1]CBOE Gold Volatitity Historical'!$A$1:$F$169,2,FALSE)</f>
        <v>17.07</v>
      </c>
      <c r="F112">
        <f>VLOOKUP(A112,'[1]CBOE Gold Volatitity Historical'!$A$1:$F$169,3,FALSE)</f>
        <v>20.57</v>
      </c>
    </row>
    <row r="113" spans="1:6">
      <c r="A113" s="9">
        <v>44287</v>
      </c>
      <c r="B113" s="10">
        <v>1767.7</v>
      </c>
      <c r="C113" s="10">
        <v>1709</v>
      </c>
      <c r="D113" s="11">
        <f>VLOOKUP(A113,'[1]dollar (3)'!$A$1:$E$169,2,FALSE)</f>
        <v>93.22</v>
      </c>
      <c r="E113" s="8">
        <f>VLOOKUP(A113,'[1]CBOE Gold Volatitity Historical'!$A$1:$F$169,2,FALSE)</f>
        <v>14.58</v>
      </c>
      <c r="F113">
        <f>VLOOKUP(A113,'[1]CBOE Gold Volatitity Historical'!$A$1:$F$169,3,FALSE)</f>
        <v>16.510000000000002</v>
      </c>
    </row>
    <row r="114" spans="1:6">
      <c r="A114" s="5">
        <v>44317</v>
      </c>
      <c r="B114" s="6">
        <v>1905.3</v>
      </c>
      <c r="C114" s="6">
        <v>1768.1</v>
      </c>
      <c r="D114" s="7">
        <f>VLOOKUP(A114,'[1]dollar (3)'!$A$1:$E$169,2,FALSE)</f>
        <v>91.3</v>
      </c>
      <c r="E114" s="8">
        <f>VLOOKUP(A114,'[1]CBOE Gold Volatitity Historical'!$A$1:$F$169,2,FALSE)</f>
        <v>16.079999999999998</v>
      </c>
      <c r="F114">
        <f>VLOOKUP(A114,'[1]CBOE Gold Volatitity Historical'!$A$1:$F$169,3,FALSE)</f>
        <v>15.42</v>
      </c>
    </row>
    <row r="115" spans="1:6">
      <c r="A115" s="9">
        <v>44348</v>
      </c>
      <c r="B115" s="10">
        <v>1771.6</v>
      </c>
      <c r="C115" s="10">
        <v>1906.8</v>
      </c>
      <c r="D115" s="11">
        <f>VLOOKUP(A115,'[1]dollar (3)'!$A$1:$E$169,2,FALSE)</f>
        <v>89.81</v>
      </c>
      <c r="E115" s="8">
        <f>VLOOKUP(A115,'[1]CBOE Gold Volatitity Historical'!$A$1:$F$169,2,FALSE)</f>
        <v>15.97</v>
      </c>
      <c r="F115">
        <f>VLOOKUP(A115,'[1]CBOE Gold Volatitity Historical'!$A$1:$F$169,3,FALSE)</f>
        <v>16.39</v>
      </c>
    </row>
    <row r="116" spans="1:6">
      <c r="A116" s="5">
        <v>44378</v>
      </c>
      <c r="B116" s="6">
        <v>1817.2</v>
      </c>
      <c r="C116" s="6">
        <v>1770.8</v>
      </c>
      <c r="D116" s="7">
        <f>VLOOKUP(A116,'[1]dollar (3)'!$A$1:$E$169,2,FALSE)</f>
        <v>92.35</v>
      </c>
      <c r="E116" s="8">
        <f>VLOOKUP(A116,'[1]CBOE Gold Volatitity Historical'!$A$1:$F$169,2,FALSE)</f>
        <v>15.09</v>
      </c>
      <c r="F116">
        <f>VLOOKUP(A116,'[1]CBOE Gold Volatitity Historical'!$A$1:$F$169,3,FALSE)</f>
        <v>15.97</v>
      </c>
    </row>
    <row r="117" spans="1:6">
      <c r="A117" s="9">
        <v>44409</v>
      </c>
      <c r="B117" s="10">
        <v>1818.1</v>
      </c>
      <c r="C117" s="10">
        <v>1817</v>
      </c>
      <c r="D117" s="11">
        <f>VLOOKUP(A117,'[1]dollar (3)'!$A$1:$E$169,2,FALSE)</f>
        <v>92.09</v>
      </c>
      <c r="E117" s="8">
        <f>VLOOKUP(A117,'[1]CBOE Gold Volatitity Historical'!$A$1:$F$169,2,FALSE)</f>
        <v>15.47</v>
      </c>
      <c r="F117">
        <f>VLOOKUP(A117,'[1]CBOE Gold Volatitity Historical'!$A$1:$F$169,3,FALSE)</f>
        <v>15.25</v>
      </c>
    </row>
    <row r="118" spans="1:6">
      <c r="A118" s="5">
        <v>44440</v>
      </c>
      <c r="B118" s="6">
        <v>1757</v>
      </c>
      <c r="C118" s="6">
        <v>1816.7</v>
      </c>
      <c r="D118" s="7">
        <f>VLOOKUP(A118,'[1]dollar (3)'!$A$1:$E$169,2,FALSE)</f>
        <v>92.66</v>
      </c>
      <c r="E118" s="8">
        <f>VLOOKUP(A118,'[1]CBOE Gold Volatitity Historical'!$A$1:$F$169,2,FALSE)</f>
        <v>17.16</v>
      </c>
      <c r="F118">
        <f>VLOOKUP(A118,'[1]CBOE Gold Volatitity Historical'!$A$1:$F$169,3,FALSE)</f>
        <v>15.47</v>
      </c>
    </row>
    <row r="119" spans="1:6">
      <c r="A119" s="9">
        <v>44470</v>
      </c>
      <c r="B119" s="10">
        <v>1783.9</v>
      </c>
      <c r="C119" s="10">
        <v>1757.2</v>
      </c>
      <c r="D119" s="11">
        <f>VLOOKUP(A119,'[1]dollar (3)'!$A$1:$E$169,2,FALSE)</f>
        <v>94.31</v>
      </c>
      <c r="E119" s="8">
        <f>VLOOKUP(A119,'[1]CBOE Gold Volatitity Historical'!$A$1:$F$169,2,FALSE)</f>
        <v>16.07</v>
      </c>
      <c r="F119">
        <f>VLOOKUP(A119,'[1]CBOE Gold Volatitity Historical'!$A$1:$F$169,3,FALSE)</f>
        <v>17.16</v>
      </c>
    </row>
    <row r="120" spans="1:6">
      <c r="A120" s="5">
        <v>44501</v>
      </c>
      <c r="B120" s="6">
        <v>1776.5</v>
      </c>
      <c r="C120" s="6">
        <v>1785.3</v>
      </c>
      <c r="D120" s="7">
        <f>VLOOKUP(A120,'[1]dollar (3)'!$A$1:$E$169,2,FALSE)</f>
        <v>94.14</v>
      </c>
      <c r="E120" s="8">
        <f>VLOOKUP(A120,'[1]CBOE Gold Volatitity Historical'!$A$1:$F$169,2,FALSE)</f>
        <v>17.989999999999998</v>
      </c>
      <c r="F120">
        <f>VLOOKUP(A120,'[1]CBOE Gold Volatitity Historical'!$A$1:$F$169,3,FALSE)</f>
        <v>16.28</v>
      </c>
    </row>
    <row r="121" spans="1:6">
      <c r="A121" s="9">
        <v>44531</v>
      </c>
      <c r="B121" s="10">
        <v>1828.6</v>
      </c>
      <c r="C121" s="10">
        <v>1777.4</v>
      </c>
      <c r="D121" s="11">
        <f>VLOOKUP(A121,'[1]dollar (3)'!$A$1:$E$169,2,FALSE)</f>
        <v>95.94</v>
      </c>
      <c r="E121" s="8">
        <f>VLOOKUP(A121,'[1]CBOE Gold Volatitity Historical'!$A$1:$F$169,2,FALSE)</f>
        <v>14.61</v>
      </c>
      <c r="F121">
        <f>VLOOKUP(A121,'[1]CBOE Gold Volatitity Historical'!$A$1:$F$169,3,FALSE)</f>
        <v>17.989999999999998</v>
      </c>
    </row>
    <row r="122" spans="1:6">
      <c r="A122" s="5">
        <v>44562</v>
      </c>
      <c r="B122" s="6">
        <v>1796.4</v>
      </c>
      <c r="C122" s="6">
        <v>1830.1</v>
      </c>
      <c r="D122" s="7">
        <f>VLOOKUP(A122,'[1]dollar (3)'!$A$1:$E$169,2,FALSE)</f>
        <v>95.65</v>
      </c>
      <c r="E122" s="8">
        <f>VLOOKUP(A122,'[1]CBOE Gold Volatitity Historical'!$A$1:$F$169,2,FALSE)</f>
        <v>16.7</v>
      </c>
      <c r="F122">
        <f>VLOOKUP(A122,'[1]CBOE Gold Volatitity Historical'!$A$1:$F$169,3,FALSE)</f>
        <v>14.61</v>
      </c>
    </row>
    <row r="123" spans="1:6">
      <c r="A123" s="9">
        <v>44593</v>
      </c>
      <c r="B123" s="10">
        <v>1900.7</v>
      </c>
      <c r="C123" s="10">
        <v>1900.3</v>
      </c>
      <c r="D123" s="11">
        <f>VLOOKUP(A123,'[1]dollar (3)'!$A$1:$E$169,2,FALSE)</f>
        <v>96.7</v>
      </c>
      <c r="E123" s="8">
        <f>VLOOKUP(A123,'[1]CBOE Gold Volatitity Historical'!$A$1:$F$169,2,FALSE)</f>
        <v>20.97</v>
      </c>
      <c r="F123">
        <f>VLOOKUP(A123,'[1]CBOE Gold Volatitity Historical'!$A$1:$F$169,3,FALSE)</f>
        <v>16.7</v>
      </c>
    </row>
    <row r="124" spans="1:6">
      <c r="A124" s="5">
        <v>44621</v>
      </c>
      <c r="B124" s="6">
        <v>1951.1</v>
      </c>
      <c r="C124" s="6">
        <v>1908.4</v>
      </c>
      <c r="D124" s="7">
        <f>VLOOKUP(A124,'[1]dollar (3)'!$A$1:$E$169,2,FALSE)</f>
        <v>96.77</v>
      </c>
      <c r="E124" s="8">
        <f>VLOOKUP(A124,'[1]CBOE Gold Volatitity Historical'!$A$1:$F$169,2,FALSE)</f>
        <v>20.25</v>
      </c>
      <c r="F124">
        <f>VLOOKUP(A124,'[1]CBOE Gold Volatitity Historical'!$A$1:$F$169,3,FALSE)</f>
        <v>20.97</v>
      </c>
    </row>
    <row r="125" spans="1:6">
      <c r="A125" s="9">
        <v>44652</v>
      </c>
      <c r="B125" s="10">
        <v>1891.3</v>
      </c>
      <c r="C125" s="10">
        <v>1924.5</v>
      </c>
      <c r="D125" s="11">
        <f>VLOOKUP(A125,'[1]dollar (3)'!$A$1:$E$169,2,FALSE)</f>
        <v>98.34</v>
      </c>
      <c r="E125" s="8">
        <f>VLOOKUP(A125,'[1]CBOE Gold Volatitity Historical'!$A$1:$F$169,2,FALSE)</f>
        <v>19.829999999999998</v>
      </c>
      <c r="F125">
        <f>VLOOKUP(A125,'[1]CBOE Gold Volatitity Historical'!$A$1:$F$169,3,FALSE)</f>
        <v>20.25</v>
      </c>
    </row>
    <row r="126" spans="1:6">
      <c r="A126" s="5">
        <v>44682</v>
      </c>
      <c r="B126" s="6">
        <v>1845.2</v>
      </c>
      <c r="C126" s="6">
        <v>1896.2</v>
      </c>
      <c r="D126" s="7">
        <f>VLOOKUP(A126,'[1]dollar (3)'!$A$1:$E$169,2,FALSE)</f>
        <v>103.18</v>
      </c>
      <c r="E126" s="8">
        <f>VLOOKUP(A126,'[1]CBOE Gold Volatitity Historical'!$A$1:$F$169,2,FALSE)</f>
        <v>17.190000000000001</v>
      </c>
      <c r="F126">
        <f>VLOOKUP(A126,'[1]CBOE Gold Volatitity Historical'!$A$1:$F$169,3,FALSE)</f>
        <v>20.47</v>
      </c>
    </row>
    <row r="127" spans="1:6">
      <c r="A127" s="9">
        <v>44713</v>
      </c>
      <c r="B127" s="10">
        <v>1807.3</v>
      </c>
      <c r="C127" s="10">
        <v>1837.1</v>
      </c>
      <c r="D127" s="11">
        <f>VLOOKUP(A127,'[1]dollar (3)'!$A$1:$E$169,2,FALSE)</f>
        <v>101.76</v>
      </c>
      <c r="E127" s="8">
        <f>VLOOKUP(A127,'[1]CBOE Gold Volatitity Historical'!$A$1:$F$169,2,FALSE)</f>
        <v>19.61</v>
      </c>
      <c r="F127">
        <f>VLOOKUP(A127,'[1]CBOE Gold Volatitity Historical'!$A$1:$F$169,3,FALSE)</f>
        <v>17.190000000000001</v>
      </c>
    </row>
    <row r="128" spans="1:6">
      <c r="A128" s="5">
        <v>44743</v>
      </c>
      <c r="B128" s="6">
        <v>1754.4</v>
      </c>
      <c r="C128" s="6">
        <v>1814.4</v>
      </c>
      <c r="D128" s="7">
        <f>VLOOKUP(A128,'[1]dollar (3)'!$A$1:$E$169,2,FALSE)</f>
        <v>104.78</v>
      </c>
      <c r="E128" s="8">
        <f>VLOOKUP(A128,'[1]CBOE Gold Volatitity Historical'!$A$1:$F$169,2,FALSE)</f>
        <v>16.489999999999998</v>
      </c>
      <c r="F128">
        <f>VLOOKUP(A128,'[1]CBOE Gold Volatitity Historical'!$A$1:$F$169,3,FALSE)</f>
        <v>20.64</v>
      </c>
    </row>
    <row r="129" spans="1:6">
      <c r="A129" s="9">
        <v>44774</v>
      </c>
      <c r="B129" s="10">
        <v>1716.9</v>
      </c>
      <c r="C129" s="10">
        <v>1767.7</v>
      </c>
      <c r="D129" s="11">
        <f>VLOOKUP(A129,'[1]dollar (3)'!$A$1:$E$169,2,FALSE)</f>
        <v>105.88</v>
      </c>
      <c r="E129" s="8">
        <f>VLOOKUP(A129,'[1]CBOE Gold Volatitity Historical'!$A$1:$F$169,2,FALSE)</f>
        <v>17.02</v>
      </c>
      <c r="F129">
        <f>VLOOKUP(A129,'[1]CBOE Gold Volatitity Historical'!$A$1:$F$169,3,FALSE)</f>
        <v>17.5</v>
      </c>
    </row>
    <row r="130" spans="1:6">
      <c r="A130" s="5">
        <v>44805</v>
      </c>
      <c r="B130" s="6">
        <v>1663.6</v>
      </c>
      <c r="C130" s="6">
        <v>1713.1</v>
      </c>
      <c r="D130" s="7">
        <f>VLOOKUP(A130,'[1]dollar (3)'!$A$1:$E$169,2,FALSE)</f>
        <v>108.84</v>
      </c>
      <c r="E130" s="8">
        <f>VLOOKUP(A130,'[1]CBOE Gold Volatitity Historical'!$A$1:$F$169,2,FALSE)</f>
        <v>19.52</v>
      </c>
      <c r="F130">
        <f>VLOOKUP(A130,'[1]CBOE Gold Volatitity Historical'!$A$1:$F$169,3,FALSE)</f>
        <v>17.25</v>
      </c>
    </row>
    <row r="131" spans="1:6">
      <c r="A131" s="9">
        <v>44835</v>
      </c>
      <c r="B131" s="10">
        <v>1640.7</v>
      </c>
      <c r="C131" s="10">
        <v>1667.9</v>
      </c>
      <c r="D131" s="11">
        <f>VLOOKUP(A131,'[1]dollar (3)'!$A$1:$E$169,2,FALSE)</f>
        <v>112.17</v>
      </c>
      <c r="E131" s="8">
        <f>VLOOKUP(A131,'[1]CBOE Gold Volatitity Historical'!$A$1:$F$169,2,FALSE)</f>
        <v>18.27</v>
      </c>
      <c r="F131">
        <f>VLOOKUP(A131,'[1]CBOE Gold Volatitity Historical'!$A$1:$F$169,3,FALSE)</f>
        <v>20.11</v>
      </c>
    </row>
    <row r="132" spans="1:6">
      <c r="A132" s="5">
        <v>44866</v>
      </c>
      <c r="B132" s="6">
        <v>1753.2</v>
      </c>
      <c r="C132" s="6">
        <v>1636.1</v>
      </c>
      <c r="D132" s="7">
        <f>VLOOKUP(A132,'[1]dollar (3)'!$A$1:$E$169,2,FALSE)</f>
        <v>106.72</v>
      </c>
      <c r="E132" s="8">
        <f>VLOOKUP(A132,'[1]CBOE Gold Volatitity Historical'!$A$1:$F$169,2,FALSE)</f>
        <v>15.45</v>
      </c>
      <c r="F132">
        <f>VLOOKUP(A132,'[1]CBOE Gold Volatitity Historical'!$A$1:$F$169,3,FALSE)</f>
        <v>18.54</v>
      </c>
    </row>
    <row r="133" spans="1:6">
      <c r="A133" s="9">
        <v>44896</v>
      </c>
      <c r="B133" s="10">
        <v>1826</v>
      </c>
      <c r="C133" s="10">
        <v>1778.4</v>
      </c>
      <c r="D133" s="11">
        <f>VLOOKUP(A133,'[1]dollar (3)'!$A$1:$E$169,2,FALSE)</f>
        <v>105.7</v>
      </c>
      <c r="E133" s="8">
        <f>VLOOKUP(A133,'[1]CBOE Gold Volatitity Historical'!$A$1:$F$169,2,FALSE)</f>
        <v>16.25</v>
      </c>
      <c r="F133">
        <f>VLOOKUP(A133,'[1]CBOE Gold Volatitity Historical'!$A$1:$F$169,3,FALSE)</f>
        <v>15.52</v>
      </c>
    </row>
    <row r="134" spans="1:6">
      <c r="A134" s="5">
        <v>44927</v>
      </c>
      <c r="B134" s="6">
        <v>1936.6</v>
      </c>
      <c r="C134" s="6">
        <v>1831.8</v>
      </c>
      <c r="D134" s="7">
        <f>VLOOKUP(A134,'[1]dollar (3)'!$A$1:$E$169,2,FALSE)</f>
        <v>103.49</v>
      </c>
      <c r="E134" s="8">
        <f>VLOOKUP(A134,'[1]CBOE Gold Volatitity Historical'!$A$1:$F$169,2,FALSE)</f>
        <v>15.75</v>
      </c>
      <c r="F134">
        <f>VLOOKUP(A134,'[1]CBOE Gold Volatitity Historical'!$A$1:$F$169,3,FALSE)</f>
        <v>17.28</v>
      </c>
    </row>
    <row r="135" spans="1:6">
      <c r="A135" s="9">
        <v>44958</v>
      </c>
      <c r="B135" s="10">
        <v>1836.7</v>
      </c>
      <c r="C135" s="10">
        <v>1935.1</v>
      </c>
      <c r="D135" s="11">
        <f>VLOOKUP(A135,'[1]dollar (3)'!$A$1:$E$169,2,FALSE)</f>
        <v>102.1</v>
      </c>
      <c r="E135" s="8">
        <f>VLOOKUP(A135,'[1]CBOE Gold Volatitity Historical'!$A$1:$F$169,2,FALSE)</f>
        <v>14.17</v>
      </c>
      <c r="F135">
        <f>VLOOKUP(A135,'[1]CBOE Gold Volatitity Historical'!$A$1:$F$169,3,FALSE)</f>
        <v>15.72</v>
      </c>
    </row>
    <row r="136" spans="1:6">
      <c r="A136" s="5">
        <v>44986</v>
      </c>
      <c r="B136" s="6">
        <v>1988.5</v>
      </c>
      <c r="C136" s="6">
        <v>1834</v>
      </c>
      <c r="D136" s="7">
        <f>VLOOKUP(A136,'[1]dollar (3)'!$A$1:$E$169,2,FALSE)</f>
        <v>105.04</v>
      </c>
      <c r="E136" s="8">
        <f>VLOOKUP(A136,'[1]CBOE Gold Volatitity Historical'!$A$1:$F$169,2,FALSE)</f>
        <v>17.309999999999999</v>
      </c>
      <c r="F136">
        <f>VLOOKUP(A136,'[1]CBOE Gold Volatitity Historical'!$A$1:$F$169,3,FALSE)</f>
        <v>14.11</v>
      </c>
    </row>
    <row r="137" spans="1:6">
      <c r="A137" s="9">
        <v>45017</v>
      </c>
      <c r="B137" s="10">
        <v>1999</v>
      </c>
      <c r="C137" s="10">
        <v>1982.6</v>
      </c>
      <c r="D137" s="11">
        <f>VLOOKUP(A137,'[1]dollar (3)'!$A$1:$E$169,2,FALSE)</f>
        <v>102.63</v>
      </c>
      <c r="E137" s="8">
        <f>VLOOKUP(A137,'[1]CBOE Gold Volatitity Historical'!$A$1:$F$169,2,FALSE)</f>
        <v>16.47</v>
      </c>
      <c r="F137">
        <f>VLOOKUP(A137,'[1]CBOE Gold Volatitity Historical'!$A$1:$F$169,3,FALSE)</f>
        <v>17.899999999999999</v>
      </c>
    </row>
    <row r="138" spans="1:6">
      <c r="A138" s="5">
        <v>45047</v>
      </c>
      <c r="B138" s="6">
        <v>1973.1</v>
      </c>
      <c r="C138" s="6">
        <v>2000.2</v>
      </c>
      <c r="D138" s="7">
        <f>VLOOKUP(A138,'[1]dollar (3)'!$A$1:$E$169,2,FALSE)</f>
        <v>101.67</v>
      </c>
      <c r="E138" s="8">
        <f>VLOOKUP(A138,'[1]CBOE Gold Volatitity Historical'!$A$1:$F$169,2,FALSE)</f>
        <v>15.63</v>
      </c>
      <c r="F138">
        <f>VLOOKUP(A138,'[1]CBOE Gold Volatitity Historical'!$A$1:$F$169,3,FALSE)</f>
        <v>17.14</v>
      </c>
    </row>
    <row r="139" spans="1:6">
      <c r="A139" s="9">
        <v>45078</v>
      </c>
      <c r="B139" s="10">
        <v>1917.9</v>
      </c>
      <c r="C139" s="10">
        <v>1972.3</v>
      </c>
      <c r="D139" s="11">
        <f>VLOOKUP(A139,'[1]dollar (3)'!$A$1:$E$169,2,FALSE)</f>
        <v>104.15</v>
      </c>
      <c r="E139" s="8">
        <f>VLOOKUP(A139,'[1]CBOE Gold Volatitity Historical'!$A$1:$F$169,2,FALSE)</f>
        <v>12.04</v>
      </c>
      <c r="F139">
        <f>VLOOKUP(A139,'[1]CBOE Gold Volatitity Historical'!$A$1:$F$169,3,FALSE)</f>
        <v>15.74</v>
      </c>
    </row>
    <row r="140" spans="1:6">
      <c r="A140" s="5">
        <v>45108</v>
      </c>
      <c r="B140" s="6">
        <v>1979.6</v>
      </c>
      <c r="C140" s="6">
        <v>1927.8</v>
      </c>
      <c r="D140" s="7">
        <f>VLOOKUP(A140,'[1]dollar (3)'!$A$1:$E$169,2,FALSE)</f>
        <v>102.93</v>
      </c>
      <c r="E140" s="8">
        <f>VLOOKUP(A140,'[1]CBOE Gold Volatitity Historical'!$A$1:$F$169,2,FALSE)</f>
        <v>12.16</v>
      </c>
      <c r="F140">
        <f>VLOOKUP(A140,'[1]CBOE Gold Volatitity Historical'!$A$1:$F$169,3,FALSE)</f>
        <v>12.44</v>
      </c>
    </row>
    <row r="141" spans="1:6">
      <c r="A141" s="9">
        <v>45139</v>
      </c>
      <c r="B141" s="10">
        <v>1947</v>
      </c>
      <c r="C141" s="10">
        <v>1974.3</v>
      </c>
      <c r="D141" s="11">
        <f>VLOOKUP(A141,'[1]dollar (3)'!$A$1:$E$169,2,FALSE)</f>
        <v>101.87</v>
      </c>
      <c r="E141" s="8">
        <f>VLOOKUP(A141,'[1]CBOE Gold Volatitity Historical'!$A$1:$F$169,2,FALSE)</f>
        <v>11.78</v>
      </c>
      <c r="F141">
        <f>VLOOKUP(A141,'[1]CBOE Gold Volatitity Historical'!$A$1:$F$169,3,FALSE)</f>
        <v>12.1</v>
      </c>
    </row>
    <row r="142" spans="1:6">
      <c r="A142" s="5">
        <v>45170</v>
      </c>
      <c r="B142" s="6">
        <v>1869.5</v>
      </c>
      <c r="C142" s="6">
        <v>1947.9</v>
      </c>
      <c r="D142" s="7">
        <f>VLOOKUP(A142,'[1]dollar (3)'!$A$1:$E$169,2,FALSE)</f>
        <v>103.62</v>
      </c>
      <c r="E142" s="8">
        <f>VLOOKUP(A142,'[1]CBOE Gold Volatitity Historical'!$A$1:$F$169,2,FALSE)</f>
        <v>12.94</v>
      </c>
      <c r="F142">
        <f>VLOOKUP(A142,'[1]CBOE Gold Volatitity Historical'!$A$1:$F$169,3,FALSE)</f>
        <v>11.51</v>
      </c>
    </row>
    <row r="143" spans="1:6">
      <c r="A143" s="9">
        <v>45200</v>
      </c>
      <c r="B143" s="10">
        <v>1994.3</v>
      </c>
      <c r="C143" s="10">
        <v>1853.9</v>
      </c>
      <c r="D143" s="11">
        <f>VLOOKUP(A143,'[1]dollar (3)'!$A$1:$E$169,2,FALSE)</f>
        <v>106.17</v>
      </c>
      <c r="E143" s="8">
        <f>VLOOKUP(A143,'[1]CBOE Gold Volatitity Historical'!$A$1:$F$169,2,FALSE)</f>
        <v>16.23</v>
      </c>
      <c r="F143">
        <f>VLOOKUP(A143,'[1]CBOE Gold Volatitity Historical'!$A$1:$F$169,3,FALSE)</f>
        <v>13.58</v>
      </c>
    </row>
    <row r="144" spans="1:6">
      <c r="A144" s="5">
        <v>45231</v>
      </c>
      <c r="B144" s="6">
        <v>2047.6</v>
      </c>
      <c r="C144" s="6">
        <v>1993.3</v>
      </c>
      <c r="D144" s="7">
        <f>VLOOKUP(A144,'[1]dollar (3)'!$A$1:$E$169,2,FALSE)</f>
        <v>106.67</v>
      </c>
      <c r="E144" s="8">
        <f>VLOOKUP(A144,'[1]CBOE Gold Volatitity Historical'!$A$1:$F$169,2,FALSE)</f>
        <v>14.22</v>
      </c>
      <c r="F144">
        <f>VLOOKUP(A144,'[1]CBOE Gold Volatitity Historical'!$A$1:$F$169,3,FALSE)</f>
        <v>15.89</v>
      </c>
    </row>
    <row r="145" spans="1:6">
      <c r="A145" s="9">
        <v>45261</v>
      </c>
      <c r="B145" s="10">
        <v>2083.5</v>
      </c>
      <c r="C145" s="10">
        <v>2083.4</v>
      </c>
      <c r="D145" s="11">
        <f>VLOOKUP(A145,'[1]dollar (3)'!$A$1:$E$169,2,FALSE)</f>
        <v>101.38</v>
      </c>
      <c r="E145" s="8">
        <f>VLOOKUP(A145,'[1]CBOE Gold Volatitity Historical'!$A$1:$F$169,2,FALSE)</f>
        <v>15.85</v>
      </c>
      <c r="F145">
        <f>VLOOKUP(A145,'[1]CBOE Gold Volatitity Historical'!$A$1:$F$169,3,FALSE)</f>
        <v>14.24</v>
      </c>
    </row>
    <row r="146" spans="1:6">
      <c r="A146" s="5">
        <v>45292</v>
      </c>
      <c r="B146" s="6">
        <v>2057.4</v>
      </c>
      <c r="C146" s="6">
        <v>2072.6999999999998</v>
      </c>
      <c r="D146" s="7">
        <f>VLOOKUP(A146,'[1]dollar (3)'!$A$1:$E$169,2,FALSE)</f>
        <v>101.42</v>
      </c>
      <c r="E146" s="8">
        <f>VLOOKUP(A146,'[1]CBOE Gold Volatitity Historical'!$A$1:$F$169,2,FALSE)</f>
        <v>13.16</v>
      </c>
      <c r="F146">
        <f>VLOOKUP(A146,'[1]CBOE Gold Volatitity Historical'!$A$1:$F$169,3,FALSE)</f>
        <v>16.010000000000002</v>
      </c>
    </row>
    <row r="147" spans="1:6">
      <c r="A147" s="9">
        <v>45323</v>
      </c>
      <c r="B147" s="10">
        <v>2054.6999999999998</v>
      </c>
      <c r="C147" s="10">
        <v>2047.7</v>
      </c>
      <c r="D147" s="11">
        <f>VLOOKUP(A147,'[1]dollar (3)'!$A$1:$E$169,2,FALSE)</f>
        <v>103.51</v>
      </c>
      <c r="E147" s="8">
        <f>VLOOKUP(A147,'[1]CBOE Gold Volatitity Historical'!$A$1:$F$169,2,FALSE)</f>
        <v>11.16</v>
      </c>
      <c r="F147">
        <f>VLOOKUP(A147,'[1]CBOE Gold Volatitity Historical'!$A$1:$F$169,3,FALSE)</f>
        <v>13.83</v>
      </c>
    </row>
    <row r="148" spans="1:6">
      <c r="A148" s="5">
        <v>45352</v>
      </c>
      <c r="B148" s="6">
        <v>2201.4</v>
      </c>
      <c r="C148" s="6">
        <v>2091.6</v>
      </c>
      <c r="D148" s="7">
        <f>VLOOKUP(A148,'[1]dollar (3)'!$A$1:$E$169,2,FALSE)</f>
        <v>104.13</v>
      </c>
      <c r="E148" s="8">
        <f>VLOOKUP(A148,'[1]CBOE Gold Volatitity Historical'!$A$1:$F$169,2,FALSE)</f>
        <v>15.44</v>
      </c>
      <c r="F148">
        <f>VLOOKUP(A148,'[1]CBOE Gold Volatitity Historical'!$A$1:$F$169,3,FALSE)</f>
        <v>11.47</v>
      </c>
    </row>
    <row r="149" spans="1:6">
      <c r="A149" s="9">
        <v>45383</v>
      </c>
      <c r="B149" s="10">
        <v>2302.9</v>
      </c>
      <c r="C149" s="10">
        <v>2243.5</v>
      </c>
      <c r="D149" s="11">
        <f>VLOOKUP(A149,'[1]dollar (3)'!$A$1:$E$169,2,FALSE)</f>
        <v>104.49</v>
      </c>
      <c r="E149" s="8">
        <f>VLOOKUP(A149,'[1]CBOE Gold Volatitity Historical'!$A$1:$F$169,2,FALSE)</f>
        <v>16.54</v>
      </c>
      <c r="F149">
        <f>VLOOKUP(A149,'[1]CBOE Gold Volatitity Historical'!$A$1:$F$169,3,FALSE)</f>
        <v>17.14</v>
      </c>
    </row>
    <row r="150" spans="1:6">
      <c r="A150" s="5">
        <v>45413</v>
      </c>
      <c r="B150" s="6">
        <v>2354.6999999999998</v>
      </c>
      <c r="C150" s="6">
        <v>2298.1999999999998</v>
      </c>
      <c r="D150" s="7">
        <f>VLOOKUP(A150,'[1]dollar (3)'!$A$1:$E$169,2,FALSE)</f>
        <v>106.32</v>
      </c>
      <c r="E150" s="8">
        <f>VLOOKUP(A150,'[1]CBOE Gold Volatitity Historical'!$A$1:$F$169,2,FALSE)</f>
        <v>15.26</v>
      </c>
      <c r="F150">
        <f>VLOOKUP(A150,'[1]CBOE Gold Volatitity Historical'!$A$1:$F$169,3,FALSE)</f>
        <v>16.809999999999999</v>
      </c>
    </row>
    <row r="151" spans="1:6">
      <c r="A151" s="9">
        <v>45444</v>
      </c>
      <c r="B151" s="10">
        <v>2336.6</v>
      </c>
      <c r="C151" s="10">
        <v>2335</v>
      </c>
      <c r="D151" s="11">
        <f>VLOOKUP(A151,'[1]dollar (3)'!$A$1:$E$169,2,FALSE)</f>
        <v>104.63</v>
      </c>
      <c r="E151" s="8">
        <f>VLOOKUP(A151,'[1]CBOE Gold Volatitity Historical'!$A$1:$F$169,2,FALSE)</f>
        <v>14.72</v>
      </c>
      <c r="F151">
        <f>VLOOKUP(A151,'[1]CBOE Gold Volatitity Historical'!$A$1:$F$169,3,FALSE)</f>
        <v>15.55</v>
      </c>
    </row>
    <row r="152" spans="1:6">
      <c r="A152" s="5">
        <v>45474</v>
      </c>
      <c r="B152" s="6">
        <v>2438.5</v>
      </c>
      <c r="C152" s="6">
        <v>2336.1999999999998</v>
      </c>
      <c r="D152" s="7">
        <f>VLOOKUP(A152,'[1]dollar (3)'!$A$1:$E$169,2,FALSE)</f>
        <v>105.7</v>
      </c>
      <c r="E152" s="8">
        <f>VLOOKUP(A152,'[1]CBOE Gold Volatitity Historical'!$A$1:$F$169,2,FALSE)</f>
        <v>17.88</v>
      </c>
      <c r="F152">
        <f>VLOOKUP(A152,'[1]CBOE Gold Volatitity Historical'!$A$1:$F$169,3,FALSE)</f>
        <v>15.05</v>
      </c>
    </row>
    <row r="153" spans="1:6">
      <c r="A153" s="9">
        <v>45505</v>
      </c>
      <c r="B153" s="10">
        <v>2536.6999999999998</v>
      </c>
      <c r="C153" s="10">
        <v>2458.8000000000002</v>
      </c>
      <c r="D153" s="11">
        <f>VLOOKUP(A153,'[1]dollar (3)'!$A$1:$E$169,2,FALSE)</f>
        <v>104.07</v>
      </c>
      <c r="E153" s="8">
        <f>VLOOKUP(A153,'[1]CBOE Gold Volatitity Historical'!$A$1:$F$169,2,FALSE)</f>
        <v>16.399999999999999</v>
      </c>
      <c r="F153">
        <f>VLOOKUP(A153,'[1]CBOE Gold Volatitity Historical'!$A$1:$F$169,3,FALSE)</f>
        <v>17.43</v>
      </c>
    </row>
    <row r="154" spans="1:6">
      <c r="A154" s="5">
        <v>45536</v>
      </c>
      <c r="B154" s="6">
        <v>2647.9</v>
      </c>
      <c r="C154" s="6">
        <v>2509</v>
      </c>
      <c r="D154" s="7">
        <f>VLOOKUP(A154,'[1]dollar (3)'!$A$1:$E$169,2,FALSE)</f>
        <v>101.38</v>
      </c>
      <c r="E154" s="8">
        <f>VLOOKUP(A154,'[1]CBOE Gold Volatitity Historical'!$A$1:$F$169,2,FALSE)</f>
        <v>18.079999999999998</v>
      </c>
      <c r="F154">
        <f>VLOOKUP(A154,'[1]CBOE Gold Volatitity Historical'!$A$1:$F$169,3,FALSE)</f>
        <v>16.77</v>
      </c>
    </row>
    <row r="155" spans="1:6">
      <c r="A155" s="9">
        <v>45566</v>
      </c>
      <c r="B155" s="10">
        <v>2749.3</v>
      </c>
      <c r="C155" s="10">
        <v>2644.4</v>
      </c>
      <c r="D155" s="11">
        <f>VLOOKUP(A155,'[1]dollar (3)'!$A$1:$E$169,2,FALSE)</f>
        <v>100.74</v>
      </c>
      <c r="E155" s="8">
        <f>VLOOKUP(A155,'[1]CBOE Gold Volatitity Historical'!$A$1:$F$169,2,FALSE)</f>
        <v>19.46</v>
      </c>
      <c r="F155">
        <f>VLOOKUP(A155,'[1]CBOE Gold Volatitity Historical'!$A$1:$F$169,3,FALSE)</f>
        <v>18.05</v>
      </c>
    </row>
    <row r="156" spans="1:6">
      <c r="A156" s="5">
        <v>45597</v>
      </c>
      <c r="B156" s="6">
        <v>2652.3</v>
      </c>
      <c r="C156" s="6">
        <v>2743.5</v>
      </c>
      <c r="D156" s="7">
        <f>VLOOKUP(A156,'[1]dollar (3)'!$A$1:$E$169,2,FALSE)</f>
        <v>103.86</v>
      </c>
      <c r="E156" s="8">
        <f>VLOOKUP(A156,'[1]CBOE Gold Volatitity Historical'!$A$1:$F$169,2,FALSE)</f>
        <v>16.37</v>
      </c>
      <c r="F156">
        <f>VLOOKUP(A156,'[1]CBOE Gold Volatitity Historical'!$A$1:$F$169,3,FALSE)</f>
        <v>19.309999999999999</v>
      </c>
    </row>
    <row r="157" spans="1:6">
      <c r="A157" s="9">
        <v>45627</v>
      </c>
      <c r="B157" s="10">
        <v>2618.1</v>
      </c>
      <c r="C157" s="10">
        <v>2663.7</v>
      </c>
      <c r="D157" s="11">
        <f>VLOOKUP(A157,'[1]dollar (3)'!$A$1:$E$169,2,FALSE)</f>
        <v>105.83</v>
      </c>
      <c r="E157" s="8">
        <f>VLOOKUP(A157,'[1]CBOE Gold Volatitity Historical'!$A$1:$F$169,2,FALSE)</f>
        <v>14.62</v>
      </c>
      <c r="F157">
        <f>VLOOKUP(A157,'[1]CBOE Gold Volatitity Historical'!$A$1:$F$169,3,FALSE)</f>
        <v>16.8</v>
      </c>
    </row>
    <row r="158" spans="1:6">
      <c r="A158" s="5">
        <v>45658</v>
      </c>
      <c r="B158" s="6">
        <v>2845.2</v>
      </c>
      <c r="C158" s="6">
        <v>2641</v>
      </c>
      <c r="D158" s="7">
        <f>VLOOKUP(A158,'[1]dollar (3)'!$A$1:$E$169,2,FALSE)</f>
        <v>108.09</v>
      </c>
      <c r="E158" s="8">
        <f>VLOOKUP(A158,'[1]CBOE Gold Volatitity Historical'!$A$1:$F$169,2,FALSE)</f>
        <v>15.82</v>
      </c>
      <c r="F158">
        <f>VLOOKUP(A158,'[1]CBOE Gold Volatitity Historical'!$A$1:$F$169,3,FALSE)</f>
        <v>14.79</v>
      </c>
    </row>
    <row r="159" spans="1:6">
      <c r="A159" s="9">
        <v>45689</v>
      </c>
      <c r="B159" s="10">
        <v>2895.9</v>
      </c>
      <c r="C159" s="10">
        <v>2846.5</v>
      </c>
      <c r="D159" s="11">
        <f>VLOOKUP(A159,'[1]dollar (3)'!$A$1:$E$169,2,FALSE)</f>
        <v>109.3</v>
      </c>
      <c r="E159" s="8">
        <f>VLOOKUP(A159,'[1]CBOE Gold Volatitity Historical'!$A$1:$F$169,2,FALSE)</f>
        <v>15.82</v>
      </c>
      <c r="F159">
        <f>VLOOKUP(A159,'[1]CBOE Gold Volatitity Historical'!$A$1:$F$169,3,FALSE)</f>
        <v>17.47</v>
      </c>
    </row>
    <row r="160" spans="1:6">
      <c r="A160" s="5">
        <v>45717</v>
      </c>
      <c r="B160" s="6">
        <v>3150.3</v>
      </c>
      <c r="C160" s="6">
        <v>2872</v>
      </c>
      <c r="D160" s="7">
        <f>VLOOKUP(A160,'[1]dollar (3)'!$A$1:$E$169,2,FALSE)</f>
        <v>107.39</v>
      </c>
      <c r="E160" s="8">
        <f>VLOOKUP(A160,'[1]CBOE Gold Volatitity Historical'!$A$1:$F$169,2,FALSE)</f>
        <v>17.84</v>
      </c>
      <c r="F160">
        <f>VLOOKUP(A160,'[1]CBOE Gold Volatitity Historical'!$A$1:$F$169,3,FALSE)</f>
        <v>16.32</v>
      </c>
    </row>
    <row r="161" spans="1:6">
      <c r="A161" s="9">
        <v>45748</v>
      </c>
      <c r="B161" s="10">
        <v>3319.1</v>
      </c>
      <c r="C161" s="10">
        <v>3157.3</v>
      </c>
      <c r="D161" s="11">
        <f>VLOOKUP(A161,'[1]dollar (3)'!$A$1:$E$169,2,FALSE)</f>
        <v>104.18</v>
      </c>
      <c r="E161" s="8">
        <f>VLOOKUP(A161,'[1]CBOE Gold Volatitity Historical'!$A$1:$F$169,2,FALSE)</f>
        <v>21.52</v>
      </c>
      <c r="F161">
        <f>VLOOKUP(A161,'[1]CBOE Gold Volatitity Historical'!$A$1:$F$169,3,FALSE)</f>
        <v>18.04</v>
      </c>
    </row>
    <row r="162" spans="1:6">
      <c r="A162" s="5">
        <v>45778</v>
      </c>
      <c r="B162" s="6">
        <v>3343.9</v>
      </c>
      <c r="C162" s="6">
        <v>3299</v>
      </c>
      <c r="D162" s="7">
        <f>VLOOKUP(A162,'[1]dollar (3)'!$A$1:$E$169,2,FALSE)</f>
        <v>99.65</v>
      </c>
      <c r="E162" s="8">
        <f>VLOOKUP(A162,'[1]CBOE Gold Volatitity Historical'!$A$1:$F$169,2,FALSE)</f>
        <v>19.100000000000001</v>
      </c>
      <c r="F162">
        <f>VLOOKUP(A162,'[1]CBOE Gold Volatitity Historical'!$A$1:$F$169,3,FALSE)</f>
        <v>21.86</v>
      </c>
    </row>
    <row r="163" spans="1:6">
      <c r="A163" s="9">
        <v>45809</v>
      </c>
      <c r="B163" s="10">
        <v>3307.7</v>
      </c>
      <c r="C163" s="10">
        <v>3323</v>
      </c>
      <c r="D163" s="11">
        <f>VLOOKUP(A163,'[1]dollar (3)'!$A$1:$E$169,2,FALSE)</f>
        <v>99.41</v>
      </c>
      <c r="E163" s="8">
        <f>VLOOKUP(A163,'[1]CBOE Gold Volatitity Historical'!$A$1:$F$169,2,FALSE)</f>
        <v>17.309999999999999</v>
      </c>
      <c r="F163">
        <f>VLOOKUP(A163,'[1]CBOE Gold Volatitity Historical'!$A$1:$F$169,3,FALSE)</f>
        <v>20.22</v>
      </c>
    </row>
    <row r="164" spans="1:6">
      <c r="A164" s="5">
        <v>45839</v>
      </c>
      <c r="B164" s="6">
        <v>3348.6</v>
      </c>
      <c r="C164" s="6">
        <v>3315.7</v>
      </c>
      <c r="D164" s="7">
        <f>VLOOKUP(A164,'[1]dollar (3)'!$A$1:$E$169,2,FALSE)</f>
        <v>96.78</v>
      </c>
      <c r="E164" s="8">
        <f>VLOOKUP(A164,'[1]CBOE Gold Volatitity Historical'!$A$1:$F$169,2,FALSE)</f>
        <v>16.04</v>
      </c>
      <c r="F164">
        <f>VLOOKUP(A164,'[1]CBOE Gold Volatitity Historical'!$A$1:$F$169,3,FALSE)</f>
        <v>17.239999999999998</v>
      </c>
    </row>
    <row r="165" spans="1:6">
      <c r="A165" s="9">
        <v>45870</v>
      </c>
      <c r="B165" s="10">
        <v>3512</v>
      </c>
      <c r="C165" s="10">
        <v>3416.6</v>
      </c>
      <c r="D165" s="11">
        <f>VLOOKUP(A165,'[1]dollar (3)'!$A$1:$E$169,2,FALSE)</f>
        <v>100.01</v>
      </c>
      <c r="E165" s="8">
        <f>VLOOKUP(A165,'[1]CBOE Gold Volatitity Historical'!$A$1:$F$169,2,FALSE)</f>
        <v>17.39</v>
      </c>
      <c r="F165">
        <f>VLOOKUP(A165,'[1]CBOE Gold Volatitity Historical'!$A$1:$F$169,3,FALSE)</f>
        <v>16.53</v>
      </c>
    </row>
    <row r="166" spans="1:6">
      <c r="A166" s="5">
        <v>45901</v>
      </c>
      <c r="B166" s="6">
        <v>3873.2</v>
      </c>
      <c r="C166" s="6">
        <v>3517.9</v>
      </c>
      <c r="D166" s="7">
        <f>VLOOKUP(A166,'[1]dollar (3)'!$A$1:$E$169,2,FALSE)</f>
        <v>97.87</v>
      </c>
      <c r="E166" s="8">
        <f>VLOOKUP(A166,'[1]CBOE Gold Volatitity Historical'!$A$1:$F$169,2,FALSE)</f>
        <v>19.95</v>
      </c>
      <c r="F166">
        <f>VLOOKUP(A166,'[1]CBOE Gold Volatitity Historical'!$A$1:$F$169,3,FALSE)</f>
        <v>17.91</v>
      </c>
    </row>
    <row r="167" spans="1:6">
      <c r="A167" s="9">
        <v>45931</v>
      </c>
      <c r="B167" s="10">
        <v>4013.3</v>
      </c>
      <c r="C167" s="10">
        <v>3887.7</v>
      </c>
      <c r="D167" s="11">
        <f>VLOOKUP(A167,'[1]dollar (3)'!$A$1:$E$169,2,FALSE)</f>
        <v>97.82</v>
      </c>
      <c r="E167" s="8">
        <f>VLOOKUP(A167,'[1]CBOE Gold Volatitity Historical'!$A$1:$F$169,2,FALSE)</f>
        <v>22.66</v>
      </c>
      <c r="F167">
        <f>VLOOKUP(A167,'[1]CBOE Gold Volatitity Historical'!$A$1:$F$169,3,FALSE)</f>
        <v>19.57</v>
      </c>
    </row>
    <row r="168" spans="1:6">
      <c r="A168" s="5">
        <v>45962</v>
      </c>
      <c r="B168" s="6">
        <v>4254.8999999999996</v>
      </c>
      <c r="C168" s="6">
        <v>4014.9</v>
      </c>
      <c r="D168" s="7">
        <f>VLOOKUP(A168,'[1]dollar (3)'!$A$1:$E$169,2,FALSE)</f>
        <v>99.75</v>
      </c>
      <c r="E168" s="8">
        <f>VLOOKUP(A168,'[1]CBOE Gold Volatitity Historical'!$A$1:$F$169,2,FALSE)</f>
        <v>22.87</v>
      </c>
      <c r="F168">
        <f>VLOOKUP(A168,'[1]CBOE Gold Volatitity Historical'!$A$1:$F$169,3,FALSE)</f>
        <v>22.47</v>
      </c>
    </row>
    <row r="169" spans="1:6">
      <c r="A169" s="12">
        <v>45992</v>
      </c>
      <c r="B169" s="13">
        <v>4357.1000000000004</v>
      </c>
      <c r="C169" s="13">
        <v>4258.5</v>
      </c>
      <c r="D169" s="14">
        <f>VLOOKUP(A169,'[1]dollar (3)'!$A$1:$E$169,2,FALSE)</f>
        <v>99.48</v>
      </c>
      <c r="E169" s="8">
        <f>VLOOKUP(A169,'[1]CBOE Gold Volatitity Historical'!$A$1:$F$169,2,FALSE)</f>
        <v>23.92</v>
      </c>
      <c r="F169">
        <f>VLOOKUP(A169,'[1]CBOE Gold Volatitity Historical'!$A$1:$F$169,3,FALSE)</f>
        <v>23.61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B6AF-584E-4C4F-B1C6-AADCE44CC35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rinrada rattanachai</dc:creator>
  <cp:lastModifiedBy>rinrada rattanachai</cp:lastModifiedBy>
  <dcterms:created xsi:type="dcterms:W3CDTF">2026-02-25T07:45:04Z</dcterms:created>
  <dcterms:modified xsi:type="dcterms:W3CDTF">2026-10-08T10:59:51Z</dcterms:modified>
</cp:coreProperties>
</file>